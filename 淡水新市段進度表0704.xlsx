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a475bdb4a950a9/桌面/"/>
    </mc:Choice>
  </mc:AlternateContent>
  <xr:revisionPtr revIDLastSave="79" documentId="8_{F55154F7-1842-4458-AE04-D4BAAE7B6761}" xr6:coauthVersionLast="47" xr6:coauthVersionMax="47" xr10:uidLastSave="{722320AD-6A09-4D76-A0C4-0AA064B534E8}"/>
  <bookViews>
    <workbookView xWindow="25080" yWindow="-570" windowWidth="29040" windowHeight="15990" activeTab="1" xr2:uid="{00000000-000D-0000-FFFF-FFFF00000000}"/>
  </bookViews>
  <sheets>
    <sheet name="1140224提報預定營造排程" sheetId="9" r:id="rId1"/>
    <sheet name="1150602灌漿排程" sheetId="12" r:id="rId2"/>
    <sheet name="水電排程" sheetId="13" r:id="rId3"/>
  </sheets>
  <definedNames>
    <definedName name="_xlnm.Print_Area" localSheetId="0">'1140224提報預定營造排程'!$A$1:$J$66</definedName>
    <definedName name="_xlnm.Print_Area" localSheetId="1">'1150602灌漿排程'!$A$120:$H$162</definedName>
    <definedName name="_xlnm.Print_Area" localSheetId="2">水電排程!#REF!</definedName>
    <definedName name="_xlnm.Print_Titles" localSheetId="1">'1150602灌漿排程'!$3:$4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4" i="12" l="1"/>
  <c r="A131" i="12"/>
  <c r="A132" i="12" s="1"/>
  <c r="A133" i="12" s="1"/>
  <c r="E140" i="12"/>
  <c r="E137" i="12"/>
  <c r="G136" i="12"/>
  <c r="E134" i="12"/>
  <c r="G134" i="12" s="1"/>
  <c r="E90" i="12" l="1"/>
  <c r="G90" i="12" s="1"/>
  <c r="E91" i="12" s="1"/>
  <c r="G91" i="12" s="1"/>
  <c r="E92" i="12" s="1"/>
  <c r="G92" i="12" s="1"/>
  <c r="E93" i="12" s="1"/>
  <c r="G93" i="12" s="1"/>
  <c r="E94" i="12" s="1"/>
  <c r="G94" i="12" s="1"/>
  <c r="E95" i="12" s="1"/>
  <c r="G95" i="12" s="1"/>
  <c r="E96" i="12" s="1"/>
  <c r="G89" i="12"/>
  <c r="G96" i="12" l="1"/>
  <c r="E97" i="12" s="1"/>
  <c r="G97" i="12" s="1"/>
  <c r="E98" i="12" s="1"/>
  <c r="G98" i="12" s="1"/>
  <c r="E99" i="12" s="1"/>
  <c r="G99" i="12" s="1"/>
  <c r="E100" i="12" s="1"/>
  <c r="G100" i="12" s="1"/>
  <c r="E101" i="12" s="1"/>
  <c r="G101" i="12" s="1"/>
  <c r="F11" i="12"/>
  <c r="G8" i="12"/>
  <c r="E9" i="12" s="1"/>
  <c r="G9" i="12" s="1"/>
  <c r="E10" i="12" s="1"/>
  <c r="G10" i="12" s="1"/>
  <c r="E12" i="12" s="1"/>
  <c r="G12" i="12" s="1"/>
  <c r="E13" i="12" s="1"/>
  <c r="G13" i="12" s="1"/>
  <c r="E14" i="12" s="1"/>
  <c r="G14" i="12" s="1"/>
  <c r="E15" i="12" s="1"/>
  <c r="G15" i="12" s="1"/>
  <c r="E16" i="12" s="1"/>
  <c r="G16" i="12" s="1"/>
  <c r="E17" i="12" s="1"/>
  <c r="G17" i="12" s="1"/>
  <c r="E18" i="12" s="1"/>
  <c r="G18" i="12" s="1"/>
  <c r="E19" i="12" s="1"/>
  <c r="G19" i="12" s="1"/>
  <c r="E20" i="12" s="1"/>
  <c r="G20" i="12" s="1"/>
  <c r="E21" i="12" s="1"/>
  <c r="G21" i="12" s="1"/>
  <c r="E22" i="12" s="1"/>
  <c r="G22" i="12" s="1"/>
  <c r="E23" i="12" s="1"/>
  <c r="G23" i="12" s="1"/>
  <c r="E24" i="12" s="1"/>
  <c r="G24" i="12" s="1"/>
  <c r="E25" i="12" s="1"/>
  <c r="G25" i="12" s="1"/>
  <c r="G7" i="12"/>
  <c r="A6" i="12"/>
  <c r="A7" i="12" s="1"/>
  <c r="A8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G5" i="12"/>
  <c r="E6" i="12" s="1"/>
  <c r="G6" i="12" s="1"/>
  <c r="E102" i="12" l="1"/>
  <c r="A85" i="12"/>
  <c r="A86" i="12" s="1"/>
  <c r="A87" i="12" s="1"/>
  <c r="E26" i="12"/>
  <c r="G26" i="12" s="1"/>
  <c r="E27" i="12"/>
  <c r="G27" i="12" s="1"/>
  <c r="E28" i="12" s="1"/>
  <c r="G28" i="12" s="1"/>
  <c r="E29" i="12" s="1"/>
  <c r="G29" i="12" s="1"/>
  <c r="E30" i="12" s="1"/>
  <c r="G30" i="12" s="1"/>
  <c r="E32" i="12" s="1"/>
  <c r="G32" i="12" s="1"/>
  <c r="E33" i="12" s="1"/>
  <c r="G33" i="12" s="1"/>
  <c r="E34" i="12" s="1"/>
  <c r="G34" i="12" s="1"/>
  <c r="G102" i="12" l="1"/>
  <c r="E103" i="12" s="1"/>
  <c r="G103" i="12" s="1"/>
  <c r="A88" i="12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E36" i="12"/>
  <c r="G36" i="12" s="1"/>
  <c r="E37" i="12" s="1"/>
  <c r="G37" i="12" s="1"/>
  <c r="E38" i="12" s="1"/>
  <c r="G38" i="12" s="1"/>
  <c r="E39" i="12" s="1"/>
  <c r="G39" i="12" s="1"/>
  <c r="E40" i="12" s="1"/>
  <c r="G40" i="12" s="1"/>
  <c r="E35" i="12"/>
  <c r="G35" i="12" s="1"/>
  <c r="A104" i="12" l="1"/>
  <c r="A105" i="12" s="1"/>
  <c r="A106" i="12" s="1"/>
  <c r="E104" i="12"/>
  <c r="G104" i="12" s="1"/>
  <c r="E41" i="12"/>
  <c r="G41" i="12" s="1"/>
  <c r="E42" i="12"/>
  <c r="G42" i="12" s="1"/>
  <c r="E43" i="12" s="1"/>
  <c r="E105" i="12" l="1"/>
  <c r="G105" i="12" s="1"/>
  <c r="A107" i="12"/>
  <c r="A108" i="12" s="1"/>
  <c r="E44" i="12"/>
  <c r="G44" i="12" s="1"/>
  <c r="E45" i="12" s="1"/>
  <c r="G43" i="12"/>
  <c r="E106" i="12" l="1"/>
  <c r="G106" i="12" s="1"/>
  <c r="E107" i="12" s="1"/>
  <c r="G107" i="12" s="1"/>
  <c r="E108" i="12" s="1"/>
  <c r="G108" i="12" s="1"/>
  <c r="E109" i="12" s="1"/>
  <c r="A109" i="12"/>
  <c r="A110" i="12" s="1"/>
  <c r="G45" i="12"/>
  <c r="E46" i="12"/>
  <c r="G46" i="12" s="1"/>
  <c r="E47" i="12" s="1"/>
  <c r="G47" i="12" s="1"/>
  <c r="E48" i="12" s="1"/>
  <c r="G48" i="12" s="1"/>
  <c r="E49" i="12" s="1"/>
  <c r="G49" i="12" s="1"/>
  <c r="E50" i="12" s="1"/>
  <c r="G50" i="12" s="1"/>
  <c r="E51" i="12" s="1"/>
  <c r="G51" i="12" s="1"/>
  <c r="E52" i="12" s="1"/>
  <c r="G52" i="12" s="1"/>
  <c r="E53" i="12" s="1"/>
  <c r="G53" i="12" s="1"/>
  <c r="E54" i="12" s="1"/>
  <c r="G54" i="12" s="1"/>
  <c r="E56" i="12" s="1"/>
  <c r="G56" i="12" s="1"/>
  <c r="E57" i="12" s="1"/>
  <c r="G57" i="12" s="1"/>
  <c r="E55" i="12" s="1"/>
  <c r="G55" i="12" s="1"/>
  <c r="E58" i="12" s="1"/>
  <c r="G58" i="12" s="1"/>
  <c r="G109" i="12" l="1"/>
  <c r="E110" i="12" s="1"/>
  <c r="G110" i="12" s="1"/>
  <c r="E111" i="12" s="1"/>
  <c r="A111" i="12"/>
  <c r="A112" i="12" s="1"/>
  <c r="A113" i="12" s="1"/>
  <c r="E60" i="12"/>
  <c r="G60" i="12" s="1"/>
  <c r="E61" i="12" s="1"/>
  <c r="G61" i="12" s="1"/>
  <c r="E62" i="12" s="1"/>
  <c r="G62" i="12" s="1"/>
  <c r="E63" i="12" s="1"/>
  <c r="G63" i="12" s="1"/>
  <c r="E64" i="12" s="1"/>
  <c r="G64" i="12" s="1"/>
  <c r="E65" i="12" s="1"/>
  <c r="E59" i="12"/>
  <c r="G59" i="12" s="1"/>
  <c r="G111" i="12" l="1"/>
  <c r="A114" i="12"/>
  <c r="A115" i="12" s="1"/>
  <c r="A116" i="12" s="1"/>
  <c r="A117" i="12" s="1"/>
  <c r="A118" i="12" s="1"/>
  <c r="A119" i="12" s="1"/>
  <c r="G65" i="12"/>
  <c r="E66" i="12" s="1"/>
  <c r="G66" i="12" s="1"/>
  <c r="E67" i="12" s="1"/>
  <c r="G67" i="12" s="1"/>
  <c r="E68" i="12" s="1"/>
  <c r="G68" i="12" s="1"/>
  <c r="E69" i="12" s="1"/>
  <c r="G69" i="12" s="1"/>
  <c r="E70" i="12" s="1"/>
  <c r="G70" i="12" s="1"/>
  <c r="J94" i="9"/>
  <c r="H94" i="9"/>
  <c r="F58" i="9"/>
  <c r="F57" i="9"/>
  <c r="E43" i="9"/>
  <c r="E42" i="9"/>
  <c r="E41" i="9"/>
  <c r="F40" i="9"/>
  <c r="F56" i="9" s="1"/>
  <c r="E39" i="9"/>
  <c r="F38" i="9"/>
  <c r="F55" i="9" s="1"/>
  <c r="E18" i="9"/>
  <c r="F17" i="9"/>
  <c r="F54" i="9" s="1"/>
  <c r="E12" i="9"/>
  <c r="F11" i="9"/>
  <c r="E9" i="9"/>
  <c r="H8" i="9"/>
  <c r="F9" i="9" s="1"/>
  <c r="H9" i="9" s="1"/>
  <c r="F10" i="9" s="1"/>
  <c r="H10" i="9" s="1"/>
  <c r="F12" i="9" s="1"/>
  <c r="H12" i="9" s="1"/>
  <c r="F13" i="9" s="1"/>
  <c r="H13" i="9" s="1"/>
  <c r="F14" i="9" s="1"/>
  <c r="H14" i="9" s="1"/>
  <c r="F15" i="9" s="1"/>
  <c r="H15" i="9" s="1"/>
  <c r="F16" i="9" s="1"/>
  <c r="H16" i="9" s="1"/>
  <c r="F18" i="9" s="1"/>
  <c r="H18" i="9" s="1"/>
  <c r="F19" i="9" s="1"/>
  <c r="H19" i="9" s="1"/>
  <c r="H7" i="9"/>
  <c r="E7" i="9"/>
  <c r="F6" i="9"/>
  <c r="H6" i="9" s="1"/>
  <c r="H5" i="9"/>
  <c r="A120" i="12" l="1"/>
  <c r="A121" i="12" s="1"/>
  <c r="A122" i="12" s="1"/>
  <c r="A123" i="12" s="1"/>
  <c r="E112" i="12"/>
  <c r="G112" i="12" s="1"/>
  <c r="E113" i="12" s="1"/>
  <c r="E71" i="12"/>
  <c r="G71" i="12" s="1"/>
  <c r="E72" i="12" s="1"/>
  <c r="F44" i="9"/>
  <c r="F21" i="9"/>
  <c r="H21" i="9" s="1"/>
  <c r="F22" i="9" s="1"/>
  <c r="H22" i="9" s="1"/>
  <c r="F23" i="9" s="1"/>
  <c r="H23" i="9" s="1"/>
  <c r="F20" i="9"/>
  <c r="H20" i="9" s="1"/>
  <c r="F53" i="9"/>
  <c r="A128" i="12" l="1"/>
  <c r="A129" i="12" s="1"/>
  <c r="A130" i="12" s="1"/>
  <c r="A135" i="12" s="1"/>
  <c r="A136" i="12" s="1"/>
  <c r="A124" i="12"/>
  <c r="A125" i="12" s="1"/>
  <c r="A126" i="12" s="1"/>
  <c r="A127" i="12" s="1"/>
  <c r="G113" i="12"/>
  <c r="E114" i="12" s="1"/>
  <c r="G114" i="12" s="1"/>
  <c r="G72" i="12"/>
  <c r="E74" i="12" s="1"/>
  <c r="E75" i="12" s="1"/>
  <c r="G75" i="12" s="1"/>
  <c r="E76" i="12" s="1"/>
  <c r="E78" i="12" s="1"/>
  <c r="G78" i="12" s="1"/>
  <c r="E79" i="12" s="1"/>
  <c r="G79" i="12" s="1"/>
  <c r="E73" i="12"/>
  <c r="G73" i="12" s="1"/>
  <c r="F25" i="9"/>
  <c r="H25" i="9" s="1"/>
  <c r="F24" i="9"/>
  <c r="H24" i="9" s="1"/>
  <c r="A137" i="12" l="1"/>
  <c r="A138" i="12" s="1"/>
  <c r="A139" i="12" s="1"/>
  <c r="A140" i="12" s="1"/>
  <c r="A141" i="12" s="1"/>
  <c r="E115" i="12"/>
  <c r="G74" i="12"/>
  <c r="E80" i="12" s="1"/>
  <c r="G80" i="12" s="1"/>
  <c r="E81" i="12" s="1"/>
  <c r="G81" i="12" s="1"/>
  <c r="E82" i="12" s="1"/>
  <c r="E77" i="12"/>
  <c r="G76" i="12"/>
  <c r="F26" i="9"/>
  <c r="H26" i="9" s="1"/>
  <c r="F27" i="9"/>
  <c r="H27" i="9" s="1"/>
  <c r="F28" i="9" s="1"/>
  <c r="H28" i="9" s="1"/>
  <c r="F29" i="9" s="1"/>
  <c r="H29" i="9" s="1"/>
  <c r="F30" i="9" s="1"/>
  <c r="H30" i="9" s="1"/>
  <c r="F31" i="9" s="1"/>
  <c r="H31" i="9" s="1"/>
  <c r="F32" i="9" s="1"/>
  <c r="H32" i="9" s="1"/>
  <c r="F33" i="9" s="1"/>
  <c r="H33" i="9" s="1"/>
  <c r="F34" i="9" s="1"/>
  <c r="H34" i="9" s="1"/>
  <c r="A142" i="12" l="1"/>
  <c r="A143" i="12" s="1"/>
  <c r="A144" i="12" s="1"/>
  <c r="G115" i="12"/>
  <c r="E116" i="12" s="1"/>
  <c r="G116" i="12" s="1"/>
  <c r="G82" i="12"/>
  <c r="E83" i="12" s="1"/>
  <c r="G83" i="12" s="1"/>
  <c r="E84" i="12"/>
  <c r="G84" i="12" s="1"/>
  <c r="E85" i="12" s="1"/>
  <c r="G85" i="12" s="1"/>
  <c r="E86" i="12" s="1"/>
  <c r="G86" i="12" s="1"/>
  <c r="E87" i="12" s="1"/>
  <c r="G77" i="12"/>
  <c r="F39" i="9"/>
  <c r="H39" i="9" s="1"/>
  <c r="F41" i="9" s="1"/>
  <c r="H41" i="9" s="1"/>
  <c r="F42" i="9" s="1"/>
  <c r="H42" i="9" s="1"/>
  <c r="F43" i="9" s="1"/>
  <c r="H43" i="9" s="1"/>
  <c r="F35" i="9"/>
  <c r="H35" i="9" s="1"/>
  <c r="F36" i="9" s="1"/>
  <c r="H36" i="9" s="1"/>
  <c r="F37" i="9" s="1"/>
  <c r="H37" i="9" s="1"/>
  <c r="A145" i="12" l="1"/>
  <c r="A146" i="12"/>
  <c r="A147" i="12" s="1"/>
  <c r="A148" i="12" s="1"/>
  <c r="E117" i="12"/>
  <c r="G117" i="12" s="1"/>
  <c r="E118" i="12" s="1"/>
  <c r="G118" i="12" s="1"/>
  <c r="E119" i="12" s="1"/>
  <c r="G119" i="12" s="1"/>
  <c r="E120" i="12" s="1"/>
  <c r="G120" i="12" s="1"/>
  <c r="E121" i="12" s="1"/>
  <c r="G121" i="12" s="1"/>
  <c r="E122" i="12" s="1"/>
  <c r="G122" i="12" s="1"/>
  <c r="E123" i="12" s="1"/>
  <c r="G123" i="12" s="1"/>
  <c r="E124" i="12" s="1"/>
  <c r="G87" i="12"/>
  <c r="E88" i="12"/>
  <c r="G88" i="12" s="1"/>
  <c r="F45" i="9"/>
  <c r="H45" i="9" s="1"/>
  <c r="F47" i="9"/>
  <c r="H47" i="9" s="1"/>
  <c r="F46" i="9"/>
  <c r="H46" i="9" s="1"/>
  <c r="A150" i="12" l="1"/>
  <c r="A149" i="12"/>
  <c r="G124" i="12"/>
  <c r="E125" i="12" s="1"/>
  <c r="G125" i="12" s="1"/>
  <c r="E126" i="12" s="1"/>
  <c r="F49" i="9"/>
  <c r="H49" i="9" s="1"/>
  <c r="F48" i="9"/>
  <c r="H48" i="9" s="1"/>
  <c r="A151" i="12" l="1"/>
  <c r="A152" i="12"/>
  <c r="A153" i="12" s="1"/>
  <c r="A154" i="12" s="1"/>
  <c r="G126" i="12"/>
  <c r="E128" i="12" s="1"/>
  <c r="A155" i="12" l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E127" i="12"/>
  <c r="G128" i="12" l="1"/>
  <c r="E129" i="12" s="1"/>
  <c r="G129" i="12" s="1"/>
  <c r="E130" i="12" s="1"/>
  <c r="G130" i="12" s="1"/>
  <c r="E131" i="12" s="1"/>
  <c r="G131" i="12" s="1"/>
  <c r="E132" i="12" s="1"/>
  <c r="G127" i="12"/>
  <c r="G132" i="12" l="1"/>
  <c r="E133" i="12" s="1"/>
  <c r="G133" i="12" l="1"/>
  <c r="E135" i="12" s="1"/>
  <c r="G135" i="12" s="1"/>
  <c r="E136" i="12" s="1"/>
  <c r="G137" i="12" s="1"/>
  <c r="E138" i="12" s="1"/>
  <c r="G138" i="12" s="1"/>
  <c r="E139" i="12" s="1"/>
  <c r="G139" i="12" s="1"/>
  <c r="G140" i="12" s="1"/>
  <c r="E141" i="12" s="1"/>
  <c r="G141" i="12" s="1"/>
  <c r="E142" i="12" s="1"/>
  <c r="G142" i="12" s="1"/>
  <c r="E143" i="12" s="1"/>
  <c r="G143" i="12" l="1"/>
  <c r="E144" i="12" s="1"/>
  <c r="G144" i="12"/>
  <c r="E145" i="12" s="1"/>
  <c r="G145" i="12" s="1"/>
  <c r="E146" i="12" s="1"/>
  <c r="G146" i="12" s="1"/>
  <c r="E147" i="12" s="1"/>
  <c r="G147" i="12" s="1"/>
  <c r="E148" i="12" s="1"/>
  <c r="G148" i="12" s="1"/>
  <c r="E149" i="12" l="1"/>
  <c r="G149" i="12" s="1"/>
  <c r="E150" i="12" s="1"/>
  <c r="G150" i="12" s="1"/>
  <c r="E151" i="12" s="1"/>
  <c r="G151" i="12" s="1"/>
  <c r="E152" i="12" s="1"/>
  <c r="G152" i="12" s="1"/>
  <c r="E153" i="12"/>
  <c r="G153" i="12" s="1"/>
  <c r="E154" i="12" s="1"/>
  <c r="G154" i="12" s="1"/>
  <c r="E155" i="12" s="1"/>
  <c r="G155" i="12" s="1"/>
  <c r="E156" i="12" s="1"/>
  <c r="G156" i="12" s="1"/>
  <c r="E157" i="12" s="1"/>
  <c r="G157" i="12" s="1"/>
</calcChain>
</file>

<file path=xl/sharedStrings.xml><?xml version="1.0" encoding="utf-8"?>
<sst xmlns="http://schemas.openxmlformats.org/spreadsheetml/2006/main" count="397" uniqueCount="316">
  <si>
    <t>景觀工程</t>
    <phoneticPr fontId="1" type="noConversion"/>
  </si>
  <si>
    <t>使照申請領照</t>
    <phoneticPr fontId="1" type="noConversion"/>
  </si>
  <si>
    <t>開始時間</t>
    <phoneticPr fontId="1" type="noConversion"/>
  </si>
  <si>
    <t>完成時間</t>
    <phoneticPr fontId="1" type="noConversion"/>
  </si>
  <si>
    <t>備註</t>
    <phoneticPr fontId="1" type="noConversion"/>
  </si>
  <si>
    <t>工期(天)</t>
    <phoneticPr fontId="1" type="noConversion"/>
  </si>
  <si>
    <t>使照</t>
    <phoneticPr fontId="1" type="noConversion"/>
  </si>
  <si>
    <t>里程碑</t>
    <phoneticPr fontId="1" type="noConversion"/>
  </si>
  <si>
    <t>施工圖繪製</t>
    <phoneticPr fontId="1" type="noConversion"/>
  </si>
  <si>
    <t>--</t>
    <phoneticPr fontId="1" type="noConversion"/>
  </si>
  <si>
    <t>編號</t>
    <phoneticPr fontId="1" type="noConversion"/>
  </si>
  <si>
    <t>基礎工程
含土方挖運棄</t>
    <phoneticPr fontId="1" type="noConversion"/>
  </si>
  <si>
    <t>假設工程</t>
    <phoneticPr fontId="1" type="noConversion"/>
  </si>
  <si>
    <t>擋土排樁</t>
    <phoneticPr fontId="1" type="noConversion"/>
  </si>
  <si>
    <t>土方工程</t>
    <phoneticPr fontId="1" type="noConversion"/>
  </si>
  <si>
    <t>合計</t>
    <phoneticPr fontId="1" type="noConversion"/>
  </si>
  <si>
    <t>地上層結構</t>
  </si>
  <si>
    <t>裝修工程+外牆裝飾</t>
    <phoneticPr fontId="1" type="noConversion"/>
  </si>
  <si>
    <t>路損/人行道鋪面</t>
    <phoneticPr fontId="1" type="noConversion"/>
  </si>
  <si>
    <t xml:space="preserve">   NCC、污水、消防檢查送件~核可</t>
    <phoneticPr fontId="1" type="noConversion"/>
  </si>
  <si>
    <t>總工期</t>
    <phoneticPr fontId="1" type="noConversion"/>
  </si>
  <si>
    <t>基礎工程</t>
  </si>
  <si>
    <t>地下層結構體</t>
    <phoneticPr fontId="1" type="noConversion"/>
  </si>
  <si>
    <t>景觀植栽工程</t>
    <phoneticPr fontId="1" type="noConversion"/>
  </si>
  <si>
    <t>消檢~使照取得</t>
    <phoneticPr fontId="1" type="noConversion"/>
  </si>
  <si>
    <t>經辦單位</t>
    <phoneticPr fontId="1" type="noConversion"/>
  </si>
  <si>
    <t>經辦人員</t>
    <phoneticPr fontId="1" type="noConversion"/>
  </si>
  <si>
    <t>經辦主管</t>
    <phoneticPr fontId="1" type="noConversion"/>
  </si>
  <si>
    <t>會簽單位</t>
    <phoneticPr fontId="1" type="noConversion"/>
  </si>
  <si>
    <t>總經理</t>
    <phoneticPr fontId="1" type="noConversion"/>
  </si>
  <si>
    <t>主要工程里程碑</t>
    <phoneticPr fontId="1" type="noConversion"/>
  </si>
  <si>
    <t>周圍景觀結構</t>
    <phoneticPr fontId="1" type="noConversion"/>
  </si>
  <si>
    <t>地上層結構</t>
    <phoneticPr fontId="1" type="noConversion"/>
  </si>
  <si>
    <t>協理</t>
    <phoneticPr fontId="1" type="noConversion"/>
  </si>
  <si>
    <t>副總經理</t>
  </si>
  <si>
    <t>遮斷板加4天</t>
    <phoneticPr fontId="1" type="noConversion"/>
  </si>
  <si>
    <t xml:space="preserve">             工期(天)
項目</t>
    <phoneticPr fontId="1" type="noConversion"/>
  </si>
  <si>
    <t>2FL</t>
    <phoneticPr fontId="1" type="noConversion"/>
  </si>
  <si>
    <t>3FL</t>
    <phoneticPr fontId="1" type="noConversion"/>
  </si>
  <si>
    <t>4FL</t>
    <phoneticPr fontId="1" type="noConversion"/>
  </si>
  <si>
    <t>5FL</t>
  </si>
  <si>
    <t>6FL</t>
  </si>
  <si>
    <t>7FL</t>
  </si>
  <si>
    <t>8FL</t>
  </si>
  <si>
    <t>9FL</t>
  </si>
  <si>
    <t>10FL</t>
  </si>
  <si>
    <t>11FL</t>
  </si>
  <si>
    <t>12FL</t>
  </si>
  <si>
    <t>13FL</t>
  </si>
  <si>
    <t>14FL</t>
  </si>
  <si>
    <t>RFL</t>
    <phoneticPr fontId="1" type="noConversion"/>
  </si>
  <si>
    <t>RIFL</t>
    <phoneticPr fontId="1" type="noConversion"/>
  </si>
  <si>
    <t>R2FL</t>
    <phoneticPr fontId="1" type="noConversion"/>
  </si>
  <si>
    <t>R3FL</t>
    <phoneticPr fontId="1" type="noConversion"/>
  </si>
  <si>
    <t>1FL</t>
    <phoneticPr fontId="1" type="noConversion"/>
  </si>
  <si>
    <t>銷售進場準備</t>
    <phoneticPr fontId="1" type="noConversion"/>
  </si>
  <si>
    <t>帶看動線檢討,大廳公設木作進場,地下貴賓停車空間施作</t>
    <phoneticPr fontId="1" type="noConversion"/>
  </si>
  <si>
    <t>接待中心實品屋完成</t>
    <phoneticPr fontId="1" type="noConversion"/>
  </si>
  <si>
    <t>大廳公設+實品屋空間點交,銷講+產品特色簡報</t>
    <phoneticPr fontId="1" type="noConversion"/>
  </si>
  <si>
    <t>含水溝及綠化構造</t>
    <phoneticPr fontId="1" type="noConversion"/>
  </si>
  <si>
    <t>工地執行預定進度</t>
    <phoneticPr fontId="1" type="noConversion"/>
  </si>
  <si>
    <t>包商結案書-全案</t>
    <phoneticPr fontId="9" type="noConversion"/>
  </si>
  <si>
    <t>工程結案報告</t>
    <phoneticPr fontId="9" type="noConversion"/>
  </si>
  <si>
    <t>空屋及公設移交</t>
    <phoneticPr fontId="9" type="noConversion"/>
  </si>
  <si>
    <t>移交客服團隊</t>
    <phoneticPr fontId="9" type="noConversion"/>
  </si>
  <si>
    <t>客服團隊移交業主</t>
    <phoneticPr fontId="9" type="noConversion"/>
  </si>
  <si>
    <t>含包商傳真函及系統結案書完成</t>
    <phoneticPr fontId="9" type="noConversion"/>
  </si>
  <si>
    <t>含進度/品質/成本/檢討及建議</t>
    <phoneticPr fontId="9" type="noConversion"/>
  </si>
  <si>
    <t>含空屋初驗改善紀錄/第三單位查驗改善紀錄/公設空間點交/各戶交屋包/點交清冊及竣工圖冊/維修餘料清冊</t>
    <phoneticPr fontId="9" type="noConversion"/>
  </si>
  <si>
    <t>報修事項登入客服系統/派工修繕</t>
    <phoneticPr fontId="9" type="noConversion"/>
  </si>
  <si>
    <t>報修事項彙總表/客服餘款整合</t>
    <phoneticPr fontId="9" type="noConversion"/>
  </si>
  <si>
    <t>110/2/12春節加６天</t>
    <phoneticPr fontId="1" type="noConversion"/>
  </si>
  <si>
    <t>PC~1FL</t>
    <phoneticPr fontId="1" type="noConversion"/>
  </si>
  <si>
    <t>周圍景觀工程~上樑</t>
    <phoneticPr fontId="1" type="noConversion"/>
  </si>
  <si>
    <t>上樑~拆架</t>
    <phoneticPr fontId="1" type="noConversion"/>
  </si>
  <si>
    <t>拆架</t>
    <phoneticPr fontId="1" type="noConversion"/>
  </si>
  <si>
    <t>含養護3天+拆第二層支撐</t>
    <phoneticPr fontId="1" type="noConversion"/>
  </si>
  <si>
    <t>CCP工程</t>
    <phoneticPr fontId="1" type="noConversion"/>
  </si>
  <si>
    <t xml:space="preserve">                   淡水新市段34地號等1筆工程進度表</t>
    <phoneticPr fontId="1" type="noConversion"/>
  </si>
  <si>
    <t>113.03.25申報開工，放樣勘驗尚未</t>
    <phoneticPr fontId="1" type="noConversion"/>
  </si>
  <si>
    <t>B4FL(基礎版)</t>
    <phoneticPr fontId="1" type="noConversion"/>
  </si>
  <si>
    <t>B3FL</t>
    <phoneticPr fontId="1" type="noConversion"/>
  </si>
  <si>
    <t>B2FL</t>
    <phoneticPr fontId="1" type="noConversion"/>
  </si>
  <si>
    <t>B1FL</t>
    <phoneticPr fontId="1" type="noConversion"/>
  </si>
  <si>
    <t>含養護4天+拆第三層支撐6天</t>
    <phoneticPr fontId="1" type="noConversion"/>
  </si>
  <si>
    <t>含養護3天+拆第一層支撐+車道出口預壘樁打除清運5天</t>
    <phoneticPr fontId="1" type="noConversion"/>
  </si>
  <si>
    <t>大底、地樑、BS版RC(114/1/29春節加６天)+拆第四層支撐6天</t>
    <phoneticPr fontId="1" type="noConversion"/>
  </si>
  <si>
    <t>(115/2/16春節加６天)</t>
    <phoneticPr fontId="1" type="noConversion"/>
  </si>
  <si>
    <t>1F周圍景觀結構</t>
    <phoneticPr fontId="1" type="noConversion"/>
  </si>
  <si>
    <t>2FL市府會勘</t>
    <phoneticPr fontId="1" type="noConversion"/>
  </si>
  <si>
    <t>7FL市府會勘</t>
    <phoneticPr fontId="1" type="noConversion"/>
  </si>
  <si>
    <t>工地執行預定進度-113/05/09調整</t>
    <phoneticPr fontId="1" type="noConversion"/>
  </si>
  <si>
    <t>建照竣工期限 118/12/17(78個月不含展延工期)</t>
    <phoneticPr fontId="1" type="noConversion"/>
  </si>
  <si>
    <t>1樓挑高6米澆置兩次</t>
    <phoneticPr fontId="1" type="noConversion"/>
  </si>
  <si>
    <t>建照</t>
    <phoneticPr fontId="1" type="noConversion"/>
  </si>
  <si>
    <t>組合屋+圍籬+綠化植栽</t>
    <phoneticPr fontId="1" type="noConversion"/>
  </si>
  <si>
    <t>RFL+8個月(240天)</t>
    <phoneticPr fontId="1" type="noConversion"/>
  </si>
  <si>
    <t>模板撤場加8天,遮斷板加4天,屋頂板養護加7天，屋頂造型加4天</t>
    <phoneticPr fontId="1" type="noConversion"/>
  </si>
  <si>
    <t>水箱加4天</t>
    <phoneticPr fontId="1" type="noConversion"/>
  </si>
  <si>
    <t>地下擋土設施暫估6/1進場施作</t>
    <phoneticPr fontId="1" type="noConversion"/>
  </si>
  <si>
    <t>3F~14F結構單層進度18天。</t>
    <phoneticPr fontId="1" type="noConversion"/>
  </si>
  <si>
    <t>外飾工程天數為240天RF完成起算，景觀工程90天。</t>
    <phoneticPr fontId="1" type="noConversion"/>
  </si>
  <si>
    <t>含中間樁引孔根固+構台樁引孔</t>
    <phoneticPr fontId="1" type="noConversion"/>
  </si>
  <si>
    <t>12/18因土方問題開始停工，40日後1/27復工</t>
    <phoneticPr fontId="1" type="noConversion"/>
  </si>
  <si>
    <t>4層支撐+5層開挖(原預計120天)</t>
    <phoneticPr fontId="1" type="noConversion"/>
  </si>
  <si>
    <t>此階段總工期縮減三十日，補足停工時程</t>
    <phoneticPr fontId="1" type="noConversion"/>
  </si>
  <si>
    <t>114/02/24修正</t>
    <phoneticPr fontId="1" type="noConversion"/>
  </si>
  <si>
    <t>連通管施做</t>
    <phoneticPr fontId="1" type="noConversion"/>
  </si>
  <si>
    <t>大底到B4FL</t>
    <phoneticPr fontId="1" type="noConversion"/>
  </si>
  <si>
    <t>筏基接地</t>
    <phoneticPr fontId="1" type="noConversion"/>
  </si>
  <si>
    <t>打接地5日+1日查驗</t>
    <phoneticPr fontId="1" type="noConversion"/>
  </si>
  <si>
    <t>大底灌PC</t>
    <phoneticPr fontId="1" type="noConversion"/>
  </si>
  <si>
    <t>1日</t>
    <phoneticPr fontId="1" type="noConversion"/>
  </si>
  <si>
    <t>鋼筋進料施作地樑</t>
    <phoneticPr fontId="1" type="noConversion"/>
  </si>
  <si>
    <t>地樑綁紮</t>
    <phoneticPr fontId="1" type="noConversion"/>
  </si>
  <si>
    <t>4日</t>
    <phoneticPr fontId="1" type="noConversion"/>
  </si>
  <si>
    <t>大地灌漿</t>
    <phoneticPr fontId="1" type="noConversion"/>
  </si>
  <si>
    <t>模板進料</t>
    <phoneticPr fontId="1" type="noConversion"/>
  </si>
  <si>
    <t>地樑組模</t>
    <phoneticPr fontId="1" type="noConversion"/>
  </si>
  <si>
    <t>地樑灌漿</t>
    <phoneticPr fontId="1" type="noConversion"/>
  </si>
  <si>
    <t>地樑拆模</t>
    <phoneticPr fontId="1" type="noConversion"/>
  </si>
  <si>
    <t>BS板組模</t>
    <phoneticPr fontId="1" type="noConversion"/>
  </si>
  <si>
    <t>BS板進鋼筋，吊料</t>
    <phoneticPr fontId="1" type="noConversion"/>
  </si>
  <si>
    <t>BS板筋綁紮，水電配管</t>
    <phoneticPr fontId="1" type="noConversion"/>
  </si>
  <si>
    <t>BS版灌漿</t>
    <phoneticPr fontId="1" type="noConversion"/>
  </si>
  <si>
    <t>養護3日</t>
    <phoneticPr fontId="1" type="noConversion"/>
  </si>
  <si>
    <t>第四層支撐拆除</t>
    <phoneticPr fontId="1" type="noConversion"/>
  </si>
  <si>
    <t>BS放樣</t>
    <phoneticPr fontId="1" type="noConversion"/>
  </si>
  <si>
    <t>凌晨放樣，不影響進度</t>
    <phoneticPr fontId="1" type="noConversion"/>
  </si>
  <si>
    <t>板面水電管材進料，水電護壁及排水進場施作</t>
    <phoneticPr fontId="1" type="noConversion"/>
  </si>
  <si>
    <t>水電材料下樓板</t>
    <phoneticPr fontId="1" type="noConversion"/>
  </si>
  <si>
    <t>臨時水電及照明上昇暫時置放</t>
    <phoneticPr fontId="1" type="noConversion"/>
  </si>
  <si>
    <t>B4F樓板配管，18、19日查驗</t>
    <phoneticPr fontId="1" type="noConversion"/>
  </si>
  <si>
    <t>B4FL牆面</t>
    <phoneticPr fontId="1" type="noConversion"/>
  </si>
  <si>
    <t>B4F柱牆筋進料</t>
    <phoneticPr fontId="1" type="noConversion"/>
  </si>
  <si>
    <t>預壘樁出界清理/帆布</t>
    <phoneticPr fontId="1" type="noConversion"/>
  </si>
  <si>
    <t>鋼筋吊料/綁紮/續接</t>
    <phoneticPr fontId="1" type="noConversion"/>
  </si>
  <si>
    <t>半牆止水帶/模板拆水箱板</t>
    <phoneticPr fontId="1" type="noConversion"/>
  </si>
  <si>
    <t>B3FL版面</t>
    <phoneticPr fontId="1" type="noConversion"/>
  </si>
  <si>
    <t>板面灌漿</t>
    <phoneticPr fontId="1" type="noConversion"/>
  </si>
  <si>
    <t>第三層支撐拆除</t>
    <phoneticPr fontId="1" type="noConversion"/>
  </si>
  <si>
    <t>施工會議(材料、工法、圖面、勞安宣告)，清下連通</t>
    <phoneticPr fontId="1" type="noConversion"/>
  </si>
  <si>
    <t>水電板面放樣</t>
    <phoneticPr fontId="1" type="noConversion"/>
  </si>
  <si>
    <t>車道/水箱灌漿</t>
    <phoneticPr fontId="1" type="noConversion"/>
  </si>
  <si>
    <t>200米/水電放樣</t>
    <phoneticPr fontId="1" type="noConversion"/>
  </si>
  <si>
    <t>36米</t>
    <phoneticPr fontId="1" type="noConversion"/>
  </si>
  <si>
    <t>半牆灌漿</t>
    <phoneticPr fontId="1" type="noConversion"/>
  </si>
  <si>
    <t>水電牆面放樣/施作/0705連通管清管/0712樑板筋進料</t>
    <phoneticPr fontId="1" type="noConversion"/>
  </si>
  <si>
    <t>約900米/晚上放樣</t>
    <phoneticPr fontId="1" type="noConversion"/>
  </si>
  <si>
    <t>B3F預壘樁打石/版面清理/牆面帆布</t>
    <phoneticPr fontId="1" type="noConversion"/>
  </si>
  <si>
    <t>牆面模組立/水電配管/樑板筋進料</t>
    <phoneticPr fontId="1" type="noConversion"/>
  </si>
  <si>
    <t>樑板模板組立/水電板放樣</t>
    <phoneticPr fontId="1" type="noConversion"/>
  </si>
  <si>
    <t>板面鋼筋綁紮/水電配管</t>
    <phoneticPr fontId="1" type="noConversion"/>
  </si>
  <si>
    <t>續接施工/半牆止水帶/0808模板拆板支撐</t>
    <phoneticPr fontId="1" type="noConversion"/>
  </si>
  <si>
    <t>B3FL模及樑板組立</t>
    <phoneticPr fontId="1" type="noConversion"/>
  </si>
  <si>
    <t>半牆澆置</t>
    <phoneticPr fontId="1" type="noConversion"/>
  </si>
  <si>
    <t>B2FL鋼筋進料</t>
    <phoneticPr fontId="1" type="noConversion"/>
  </si>
  <si>
    <t>B2FL版面灌漿</t>
    <phoneticPr fontId="1" type="noConversion"/>
  </si>
  <si>
    <t>B2FL版面養護</t>
    <phoneticPr fontId="1" type="noConversion"/>
  </si>
  <si>
    <t>第二層支撐拆除</t>
    <phoneticPr fontId="1" type="noConversion"/>
  </si>
  <si>
    <t>水電板面配管/B4F顧模照明安裝/B3F照明上移/臨時盤電上移</t>
    <phoneticPr fontId="1" type="noConversion"/>
  </si>
  <si>
    <t>B2FL版面</t>
    <phoneticPr fontId="1" type="noConversion"/>
  </si>
  <si>
    <t>900米</t>
    <phoneticPr fontId="1" type="noConversion"/>
  </si>
  <si>
    <t>300米</t>
    <phoneticPr fontId="1" type="noConversion"/>
  </si>
  <si>
    <t>車道灌漿</t>
    <phoneticPr fontId="1" type="noConversion"/>
  </si>
  <si>
    <t>拆模後水電清B4F出口/拉線</t>
    <phoneticPr fontId="1" type="noConversion"/>
  </si>
  <si>
    <t>養護好後拆養護噴灑管路上移</t>
    <phoneticPr fontId="1" type="noConversion"/>
  </si>
  <si>
    <t>水電板面配管</t>
    <phoneticPr fontId="1" type="noConversion"/>
  </si>
  <si>
    <t>水電版面管路進料</t>
    <phoneticPr fontId="1" type="noConversion"/>
  </si>
  <si>
    <t>版面臨時水上移(1"管)/柱位放樣/配管</t>
    <phoneticPr fontId="1" type="noConversion"/>
  </si>
  <si>
    <t>B3F柱牆續接進料</t>
    <phoneticPr fontId="1" type="noConversion"/>
  </si>
  <si>
    <t>B1F板筋進料</t>
    <phoneticPr fontId="1" type="noConversion"/>
  </si>
  <si>
    <t>B1F樑板模組立</t>
    <phoneticPr fontId="1" type="noConversion"/>
  </si>
  <si>
    <t>半牆澆置(300米)</t>
    <phoneticPr fontId="1" type="noConversion"/>
  </si>
  <si>
    <t>B2FL車道/水箱灌漿(70米)</t>
    <phoneticPr fontId="1" type="noConversion"/>
  </si>
  <si>
    <t>B1FL板筋吊料/水電配管</t>
    <phoneticPr fontId="1" type="noConversion"/>
  </si>
  <si>
    <t>B1F版面灌漿(850米)</t>
    <phoneticPr fontId="1" type="noConversion"/>
  </si>
  <si>
    <t>B1F版面</t>
    <phoneticPr fontId="1" type="noConversion"/>
  </si>
  <si>
    <t>水電版面配管</t>
    <phoneticPr fontId="1" type="noConversion"/>
  </si>
  <si>
    <t>B3F預壘樁打石/清理9/5   續接進料 9/6</t>
    <phoneticPr fontId="1" type="noConversion"/>
  </si>
  <si>
    <t>柱面/半牆/水箱/組模    車道鋼筋綁紮</t>
    <phoneticPr fontId="1" type="noConversion"/>
  </si>
  <si>
    <t>車道止水條+接著劑</t>
    <phoneticPr fontId="1" type="noConversion"/>
  </si>
  <si>
    <t>水電放樣</t>
    <phoneticPr fontId="1" type="noConversion"/>
  </si>
  <si>
    <t>9/16車道配管，水箱封頂配管</t>
    <phoneticPr fontId="1" type="noConversion"/>
  </si>
  <si>
    <t>水電柱面配管/水箱牆面預留管</t>
    <phoneticPr fontId="1" type="noConversion"/>
  </si>
  <si>
    <t>續接吊料9/8 續接施工9/9     半牆止水帶9/10</t>
    <phoneticPr fontId="1" type="noConversion"/>
  </si>
  <si>
    <t>70米/水電版面管路叫料</t>
    <phoneticPr fontId="1" type="noConversion"/>
  </si>
  <si>
    <t>半牆組立/水電牆面配管/車道、水箱鋼筋綁紮/拆樑支撐</t>
    <phoneticPr fontId="1" type="noConversion"/>
  </si>
  <si>
    <t>B2FL鋼筋樑板吊料/綁紮/水電版面配管</t>
    <phoneticPr fontId="1" type="noConversion"/>
  </si>
  <si>
    <t>B1FL版面養護4天</t>
    <phoneticPr fontId="1" type="noConversion"/>
  </si>
  <si>
    <t>B1F柱牆+車道/續接進吊料</t>
    <phoneticPr fontId="1" type="noConversion"/>
  </si>
  <si>
    <t>第一層支撐及構台拆除</t>
    <phoneticPr fontId="1" type="noConversion"/>
  </si>
  <si>
    <t>預壘樁出界清理/帆布/清板</t>
    <phoneticPr fontId="1" type="noConversion"/>
  </si>
  <si>
    <t>B1F續接分料/綁紮</t>
    <phoneticPr fontId="1" type="noConversion"/>
  </si>
  <si>
    <t>B1F半牆組模/水電配管/車道組模</t>
    <phoneticPr fontId="1" type="noConversion"/>
  </si>
  <si>
    <t>B1F車道灌漿/鋼筋進料</t>
    <phoneticPr fontId="1" type="noConversion"/>
  </si>
  <si>
    <t>1F</t>
    <phoneticPr fontId="1" type="noConversion"/>
  </si>
  <si>
    <t>B1F梁模板組立/         半牆澆置(10/29)</t>
    <phoneticPr fontId="1" type="noConversion"/>
  </si>
  <si>
    <t>50米/水電放樣</t>
    <phoneticPr fontId="1" type="noConversion"/>
  </si>
  <si>
    <t>300米/水電放樣</t>
    <phoneticPr fontId="1" type="noConversion"/>
  </si>
  <si>
    <t>B1F梁吊料/綁紮/水電配管</t>
    <phoneticPr fontId="1" type="noConversion"/>
  </si>
  <si>
    <t>1F版面灌漿</t>
    <phoneticPr fontId="1" type="noConversion"/>
  </si>
  <si>
    <t>1F版面養護</t>
    <phoneticPr fontId="1" type="noConversion"/>
  </si>
  <si>
    <t>水電配管</t>
    <phoneticPr fontId="1" type="noConversion"/>
  </si>
  <si>
    <t>柱牆配管</t>
    <phoneticPr fontId="1" type="noConversion"/>
  </si>
  <si>
    <t>1F柱筋進料及綁紮</t>
    <phoneticPr fontId="1" type="noConversion"/>
  </si>
  <si>
    <t>周邊圍籬拆除</t>
    <phoneticPr fontId="1" type="noConversion"/>
  </si>
  <si>
    <t>約3-4周</t>
    <phoneticPr fontId="1" type="noConversion"/>
  </si>
  <si>
    <t>1F柱牆施作</t>
    <phoneticPr fontId="1" type="noConversion"/>
  </si>
  <si>
    <t>1F汙水管洗洞施作</t>
    <phoneticPr fontId="1" type="noConversion"/>
  </si>
  <si>
    <t>台電、電信、汙水排放及引進管施作</t>
    <phoneticPr fontId="1" type="noConversion"/>
  </si>
  <si>
    <t>配合車道施作/車道燈施作</t>
    <phoneticPr fontId="1" type="noConversion"/>
  </si>
  <si>
    <t>配合圍籬拆除，臨時電臨時水改路徑</t>
    <phoneticPr fontId="1" type="noConversion"/>
  </si>
  <si>
    <t>施作後配合鋪面放樣，配管定位</t>
    <phoneticPr fontId="1" type="noConversion"/>
  </si>
  <si>
    <t>5天完成</t>
    <phoneticPr fontId="1" type="noConversion"/>
  </si>
  <si>
    <t>1MF灌漿</t>
    <phoneticPr fontId="1" type="noConversion"/>
  </si>
  <si>
    <t>1MF</t>
    <phoneticPr fontId="1" type="noConversion"/>
  </si>
  <si>
    <t>1MF樓板鷹架吊料及施工</t>
    <phoneticPr fontId="1" type="noConversion"/>
  </si>
  <si>
    <t>1MF水電配管</t>
    <phoneticPr fontId="1" type="noConversion"/>
  </si>
  <si>
    <t>1MF養護</t>
    <phoneticPr fontId="1" type="noConversion"/>
  </si>
  <si>
    <t>1MF樓板樑筋施作</t>
    <phoneticPr fontId="1" type="noConversion"/>
  </si>
  <si>
    <t>1MF樓板樑吊鋼筋</t>
    <phoneticPr fontId="1" type="noConversion"/>
  </si>
  <si>
    <t>2F底板放樣</t>
    <phoneticPr fontId="1" type="noConversion"/>
  </si>
  <si>
    <t>2F鋼筋吊鐵</t>
    <phoneticPr fontId="1" type="noConversion"/>
  </si>
  <si>
    <t>GL+-0打石/景觀防水施作/景觀水電放樣</t>
    <phoneticPr fontId="1" type="noConversion"/>
  </si>
  <si>
    <t>周邊水溝施作/排水及廢水壓力管平頂預埋</t>
    <phoneticPr fontId="1" type="noConversion"/>
  </si>
  <si>
    <t>圍籬恢復/景觀壓層施作/水電景觀配管/1F回填土</t>
    <phoneticPr fontId="1" type="noConversion"/>
  </si>
  <si>
    <t>43天進度壓層灌好，尚未回填土</t>
    <phoneticPr fontId="1" type="noConversion"/>
  </si>
  <si>
    <t>2F綁梁</t>
    <phoneticPr fontId="1" type="noConversion"/>
  </si>
  <si>
    <t>周邊鷹架</t>
    <phoneticPr fontId="1" type="noConversion"/>
  </si>
  <si>
    <t>水電配管/鋼筋綁紮</t>
    <phoneticPr fontId="1" type="noConversion"/>
  </si>
  <si>
    <t>市府勘驗</t>
    <phoneticPr fontId="1" type="noConversion"/>
  </si>
  <si>
    <t>標高器/水電收尾</t>
    <phoneticPr fontId="1" type="noConversion"/>
  </si>
  <si>
    <t>2FL 版面灌漿</t>
    <phoneticPr fontId="1" type="noConversion"/>
  </si>
  <si>
    <t>鷹架升架/鋼筋吊料</t>
    <phoneticPr fontId="1" type="noConversion"/>
  </si>
  <si>
    <t>柱牆續接</t>
    <phoneticPr fontId="1" type="noConversion"/>
  </si>
  <si>
    <t>樑板鋼筋進料</t>
    <phoneticPr fontId="1" type="noConversion"/>
  </si>
  <si>
    <t>牆板組立/水電配牆</t>
    <phoneticPr fontId="1" type="noConversion"/>
  </si>
  <si>
    <t>配合RC管料進料</t>
    <phoneticPr fontId="1" type="noConversion"/>
  </si>
  <si>
    <t>管料預計27日進場 樑套管/RC版面管料</t>
    <phoneticPr fontId="1" type="noConversion"/>
  </si>
  <si>
    <t>5FL</t>
    <phoneticPr fontId="1" type="noConversion"/>
  </si>
  <si>
    <t>6FL</t>
    <phoneticPr fontId="1" type="noConversion"/>
  </si>
  <si>
    <t>6FL灌漿(600米)</t>
    <phoneticPr fontId="1" type="noConversion"/>
  </si>
  <si>
    <t>7FL灌漿(600米)</t>
    <phoneticPr fontId="1" type="noConversion"/>
  </si>
  <si>
    <t xml:space="preserve">  </t>
    <phoneticPr fontId="1" type="noConversion"/>
  </si>
  <si>
    <t>4/7日4F柱筋進料</t>
    <phoneticPr fontId="1" type="noConversion"/>
  </si>
  <si>
    <t>吊鋼筋分料</t>
    <phoneticPr fontId="1" type="noConversion"/>
  </si>
  <si>
    <t>鋼筋綁紮/水電放樣配管</t>
    <phoneticPr fontId="1" type="noConversion"/>
  </si>
  <si>
    <t>樑組立</t>
    <phoneticPr fontId="1" type="noConversion"/>
  </si>
  <si>
    <t>4/1放樣</t>
    <phoneticPr fontId="1" type="noConversion"/>
  </si>
  <si>
    <t>3FL灌漿(600米)+回填區</t>
    <phoneticPr fontId="1" type="noConversion"/>
  </si>
  <si>
    <t>鷹架吊料+昇架</t>
    <phoneticPr fontId="1" type="noConversion"/>
  </si>
  <si>
    <t>5FL灌漿</t>
    <phoneticPr fontId="1" type="noConversion"/>
  </si>
  <si>
    <t>5/8 5FL PVC管進料</t>
    <phoneticPr fontId="1" type="noConversion"/>
  </si>
  <si>
    <t>拆模/鷹架吊料+搭棚架</t>
    <phoneticPr fontId="1" type="noConversion"/>
  </si>
  <si>
    <t>樑組立/水電放樣4/23</t>
    <phoneticPr fontId="1" type="noConversion"/>
  </si>
  <si>
    <t>4FL灌漿(590米)</t>
    <phoneticPr fontId="1" type="noConversion"/>
  </si>
  <si>
    <t>拆外膜/吊鷹架、吊柱牆筋</t>
    <phoneticPr fontId="1" type="noConversion"/>
  </si>
  <si>
    <t>吊鋼筋分料+柱續接</t>
    <phoneticPr fontId="1" type="noConversion"/>
  </si>
  <si>
    <t>24日早上先吊B棟</t>
    <phoneticPr fontId="1" type="noConversion"/>
  </si>
  <si>
    <t>5/15 版面配管</t>
    <phoneticPr fontId="1" type="noConversion"/>
  </si>
  <si>
    <t>1.拆模清出口</t>
    <phoneticPr fontId="1" type="noConversion"/>
  </si>
  <si>
    <t>3.拉線</t>
    <phoneticPr fontId="1" type="noConversion"/>
  </si>
  <si>
    <t>4.查驗/動線照明施作</t>
    <phoneticPr fontId="1" type="noConversion"/>
  </si>
  <si>
    <t>5.清點剩餘材料及下一層叫料</t>
    <phoneticPr fontId="1" type="noConversion"/>
  </si>
  <si>
    <t>2.核對出口/材料備料</t>
    <phoneticPr fontId="1" type="noConversion"/>
  </si>
  <si>
    <t>電包RC模板拆模後</t>
    <phoneticPr fontId="1" type="noConversion"/>
  </si>
  <si>
    <t>排水RC模板拆模後</t>
    <phoneticPr fontId="1" type="noConversion"/>
  </si>
  <si>
    <t>3.排水管路施作/確認管路施作</t>
    <phoneticPr fontId="1" type="noConversion"/>
  </si>
  <si>
    <t>4.滿水測試/查驗照/備料</t>
    <phoneticPr fontId="1" type="noConversion"/>
  </si>
  <si>
    <t>5.滿水放水</t>
    <phoneticPr fontId="1" type="noConversion"/>
  </si>
  <si>
    <t>5/10日下午開始放樣</t>
    <phoneticPr fontId="1" type="noConversion"/>
  </si>
  <si>
    <t>5/12樑板鋼筋吊料、樑板筋綁紮、水電配管</t>
    <phoneticPr fontId="1" type="noConversion"/>
  </si>
  <si>
    <t>樑模組立/水電放樣5/11</t>
    <phoneticPr fontId="1" type="noConversion"/>
  </si>
  <si>
    <t>13FL灌漿(601米)</t>
    <phoneticPr fontId="1" type="noConversion"/>
  </si>
  <si>
    <t>RF</t>
    <phoneticPr fontId="1" type="noConversion"/>
  </si>
  <si>
    <t>吊柱筋分料+柱續接</t>
    <phoneticPr fontId="1" type="noConversion"/>
  </si>
  <si>
    <t>6F樑板5/29 /鋼筋進料</t>
    <phoneticPr fontId="1" type="noConversion"/>
  </si>
  <si>
    <t>樑組立/水電放樣6/01</t>
    <phoneticPr fontId="1" type="noConversion"/>
  </si>
  <si>
    <t>樑板筋吊料</t>
    <phoneticPr fontId="1" type="noConversion"/>
  </si>
  <si>
    <t>5/30 禮拜日水電開始放樣</t>
    <phoneticPr fontId="1" type="noConversion"/>
  </si>
  <si>
    <r>
      <t>鋼筋綁紮/</t>
    </r>
    <r>
      <rPr>
        <b/>
        <sz val="12"/>
        <rFont val="標楷體"/>
        <family val="4"/>
        <charset val="136"/>
      </rPr>
      <t>水電放樣配管</t>
    </r>
    <phoneticPr fontId="1" type="noConversion"/>
  </si>
  <si>
    <t>7FL</t>
    <phoneticPr fontId="1" type="noConversion"/>
  </si>
  <si>
    <t>7F樑板/鋼筋進料</t>
    <phoneticPr fontId="1" type="noConversion"/>
  </si>
  <si>
    <t>樑組立/水電放樣</t>
    <phoneticPr fontId="1" type="noConversion"/>
  </si>
  <si>
    <t>8FL</t>
    <phoneticPr fontId="1" type="noConversion"/>
  </si>
  <si>
    <t>8FL灌漿(600米)</t>
    <phoneticPr fontId="1" type="noConversion"/>
  </si>
  <si>
    <t>市政府會勘</t>
    <phoneticPr fontId="1" type="noConversion"/>
  </si>
  <si>
    <r>
      <t>樑組立/</t>
    </r>
    <r>
      <rPr>
        <b/>
        <sz val="12"/>
        <rFont val="標楷體"/>
        <family val="4"/>
        <charset val="136"/>
      </rPr>
      <t>水電放樣</t>
    </r>
    <phoneticPr fontId="1" type="noConversion"/>
  </si>
  <si>
    <t>06/19放樣</t>
    <phoneticPr fontId="1" type="noConversion"/>
  </si>
  <si>
    <t>7F市府會勘</t>
    <phoneticPr fontId="1" type="noConversion"/>
  </si>
  <si>
    <t>14FL灌漿(601米)</t>
    <phoneticPr fontId="1" type="noConversion"/>
  </si>
  <si>
    <t>RFL灌漿(601米)</t>
    <phoneticPr fontId="1" type="noConversion"/>
  </si>
  <si>
    <t>預計上梁時間</t>
    <phoneticPr fontId="1" type="noConversion"/>
  </si>
  <si>
    <t>取得消檢合格時間</t>
    <phoneticPr fontId="1" type="noConversion"/>
  </si>
  <si>
    <t>消檢時間</t>
    <phoneticPr fontId="1" type="noConversion"/>
  </si>
  <si>
    <t>116/05/10</t>
    <phoneticPr fontId="1" type="noConversion"/>
  </si>
  <si>
    <t>116/06/01</t>
    <phoneticPr fontId="1" type="noConversion"/>
  </si>
  <si>
    <t>使用執照取得</t>
    <phoneticPr fontId="1" type="noConversion"/>
  </si>
  <si>
    <t>116/08/01</t>
    <phoneticPr fontId="1" type="noConversion"/>
  </si>
  <si>
    <t>116/09/01</t>
    <phoneticPr fontId="1" type="noConversion"/>
  </si>
  <si>
    <t>台電正式電送電</t>
    <phoneticPr fontId="1" type="noConversion"/>
  </si>
  <si>
    <t>台水正式送水</t>
    <phoneticPr fontId="1" type="noConversion"/>
  </si>
  <si>
    <t>9F樑板/鋼筋進料</t>
    <phoneticPr fontId="1" type="noConversion"/>
  </si>
  <si>
    <t>9FL灌漿(600米)</t>
    <phoneticPr fontId="1" type="noConversion"/>
  </si>
  <si>
    <t>10F樑板/鋼筋進料</t>
    <phoneticPr fontId="1" type="noConversion"/>
  </si>
  <si>
    <t>10FL</t>
    <phoneticPr fontId="1" type="noConversion"/>
  </si>
  <si>
    <t>11FL灌漿(600米)</t>
    <phoneticPr fontId="1" type="noConversion"/>
  </si>
  <si>
    <t>12FL灌漿(600米)</t>
    <phoneticPr fontId="1" type="noConversion"/>
  </si>
  <si>
    <r>
      <t>柱牆配管/</t>
    </r>
    <r>
      <rPr>
        <b/>
        <sz val="10"/>
        <color rgb="FFFF0000"/>
        <rFont val="標楷體"/>
        <family val="4"/>
        <charset val="136"/>
      </rPr>
      <t>管洗洞配管</t>
    </r>
    <phoneticPr fontId="1" type="noConversion"/>
  </si>
  <si>
    <r>
      <t>4/15 4F樓板PVC管進料/</t>
    </r>
    <r>
      <rPr>
        <sz val="10"/>
        <color rgb="FFFF0000"/>
        <rFont val="標楷體"/>
        <family val="4"/>
        <charset val="136"/>
      </rPr>
      <t>5~7F開關箱進料</t>
    </r>
    <phoneticPr fontId="1" type="noConversion"/>
  </si>
  <si>
    <t>115/06/23修正</t>
    <phoneticPr fontId="1" type="noConversion"/>
  </si>
  <si>
    <t>8F樑板/鋼筋進料/樑組立</t>
    <phoneticPr fontId="1" type="noConversion"/>
  </si>
  <si>
    <r>
      <t>鋼筋進料/</t>
    </r>
    <r>
      <rPr>
        <b/>
        <sz val="12"/>
        <rFont val="標楷體"/>
        <family val="4"/>
        <charset val="136"/>
      </rPr>
      <t>水電放樣</t>
    </r>
    <phoneticPr fontId="1" type="noConversion"/>
  </si>
  <si>
    <r>
      <t>鋼筋綁紮/</t>
    </r>
    <r>
      <rPr>
        <b/>
        <sz val="12"/>
        <rFont val="標楷體"/>
        <family val="4"/>
        <charset val="136"/>
      </rPr>
      <t>水電配管</t>
    </r>
    <phoneticPr fontId="1" type="noConversion"/>
  </si>
  <si>
    <r>
      <t>牆板組立/</t>
    </r>
    <r>
      <rPr>
        <b/>
        <sz val="12"/>
        <rFont val="標楷體"/>
        <family val="4"/>
        <charset val="136"/>
      </rPr>
      <t>水電配牆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</si>
</sst>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404]e/m/d;@"/>
    <numFmt numFmtId="177" formatCode="0_ "/>
    <numFmt numFmtId="178" formatCode="0_);[Red]\(0\)"/>
    <numFmt numFmtId="179" formatCode="[$-404]e/mm/dd;@"/>
    <numFmt numFmtId="180" formatCode="[$-404]e/mm/dd"/>
    <numFmt numFmtId="181" formatCode="#,##0&quot;天&quot;"/>
    <numFmt numFmtId="182" formatCode="m&quot;月&quot;d&quot;日&quot;"/>
    <numFmt numFmtId="183" formatCode="[$-404]e/mm/dd\ dddd"/>
    <numFmt numFmtId="184" formatCode="&quot;$&quot;#,##0.00"/>
  </numFmts>
  <fonts count="2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1"/>
      <color rgb="FFFF0000"/>
      <name val="標楷體"/>
      <family val="4"/>
      <charset val="136"/>
    </font>
    <font>
      <sz val="1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name val="標楷體"/>
      <family val="4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0" tint="-0.34998626667073579"/>
      <name val="標楷體"/>
      <family val="4"/>
      <charset val="136"/>
    </font>
    <font>
      <b/>
      <sz val="12"/>
      <name val="標楷體"/>
      <family val="4"/>
      <charset val="136"/>
    </font>
    <font>
      <sz val="12"/>
      <color rgb="FF00B050"/>
      <name val="標楷體"/>
      <family val="4"/>
      <charset val="136"/>
    </font>
    <font>
      <sz val="11"/>
      <color theme="1"/>
      <name val="標楷體"/>
      <family val="4"/>
      <charset val="136"/>
    </font>
    <font>
      <sz val="12"/>
      <color rgb="FF00B0F0"/>
      <name val="標楷體"/>
      <family val="4"/>
      <charset val="136"/>
    </font>
    <font>
      <sz val="10"/>
      <name val="標楷體"/>
      <family val="4"/>
      <charset val="136"/>
    </font>
    <font>
      <b/>
      <sz val="10"/>
      <color rgb="FFFF0000"/>
      <name val="標楷體"/>
      <family val="4"/>
      <charset val="136"/>
    </font>
    <font>
      <b/>
      <sz val="10"/>
      <name val="標楷體"/>
      <family val="4"/>
      <charset val="136"/>
    </font>
    <font>
      <sz val="10"/>
      <color rgb="FFFF0000"/>
      <name val="標楷體"/>
      <family val="4"/>
      <charset val="136"/>
    </font>
    <font>
      <sz val="8"/>
      <name val="標楷體"/>
      <family val="4"/>
      <charset val="136"/>
    </font>
    <font>
      <b/>
      <sz val="8"/>
      <color rgb="FFFF0000"/>
      <name val="標楷體"/>
      <family val="4"/>
      <charset val="136"/>
    </font>
    <font>
      <sz val="9"/>
      <color theme="1"/>
      <name val="標楷體"/>
      <family val="4"/>
      <charset val="136"/>
    </font>
    <font>
      <sz val="8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EFCD4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indexed="64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/>
    </xf>
    <xf numFmtId="179" fontId="2" fillId="0" borderId="17" xfId="0" applyNumberFormat="1" applyFont="1" applyBorder="1" applyAlignment="1">
      <alignment horizontal="center" vertical="center"/>
    </xf>
    <xf numFmtId="179" fontId="2" fillId="0" borderId="18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178" fontId="2" fillId="0" borderId="4" xfId="0" applyNumberFormat="1" applyFont="1" applyBorder="1" applyAlignment="1">
      <alignment horizontal="center" vertical="center"/>
    </xf>
    <xf numFmtId="179" fontId="2" fillId="0" borderId="26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9" fontId="2" fillId="0" borderId="27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80" fontId="8" fillId="3" borderId="31" xfId="0" applyNumberFormat="1" applyFont="1" applyFill="1" applyBorder="1" applyAlignment="1">
      <alignment horizontal="center" vertical="center" wrapText="1"/>
    </xf>
    <xf numFmtId="180" fontId="8" fillId="3" borderId="34" xfId="0" applyNumberFormat="1" applyFont="1" applyFill="1" applyBorder="1" applyAlignment="1">
      <alignment horizontal="center" vertical="center" wrapText="1"/>
    </xf>
    <xf numFmtId="181" fontId="8" fillId="3" borderId="12" xfId="0" applyNumberFormat="1" applyFont="1" applyFill="1" applyBorder="1" applyAlignment="1">
      <alignment horizontal="center" vertical="center" wrapText="1"/>
    </xf>
    <xf numFmtId="181" fontId="8" fillId="3" borderId="37" xfId="0" applyNumberFormat="1" applyFont="1" applyFill="1" applyBorder="1" applyAlignment="1">
      <alignment horizontal="center" vertical="center" wrapText="1"/>
    </xf>
    <xf numFmtId="180" fontId="8" fillId="3" borderId="15" xfId="0" applyNumberFormat="1" applyFont="1" applyFill="1" applyBorder="1" applyAlignment="1">
      <alignment horizontal="center" vertical="center" wrapText="1"/>
    </xf>
    <xf numFmtId="180" fontId="8" fillId="3" borderId="11" xfId="0" applyNumberFormat="1" applyFont="1" applyFill="1" applyBorder="1" applyAlignment="1">
      <alignment horizontal="center" vertical="center" wrapText="1"/>
    </xf>
    <xf numFmtId="180" fontId="8" fillId="3" borderId="38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182" fontId="2" fillId="0" borderId="0" xfId="0" applyNumberFormat="1" applyFont="1">
      <alignment vertical="center"/>
    </xf>
    <xf numFmtId="0" fontId="2" fillId="0" borderId="23" xfId="0" applyFont="1" applyBorder="1" applyAlignment="1">
      <alignment horizontal="center" vertical="center"/>
    </xf>
    <xf numFmtId="179" fontId="11" fillId="0" borderId="17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177" fontId="2" fillId="2" borderId="10" xfId="0" applyNumberFormat="1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12" fillId="0" borderId="0" xfId="0" applyFont="1">
      <alignment vertical="center"/>
    </xf>
    <xf numFmtId="177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177" fontId="8" fillId="0" borderId="48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177" fontId="8" fillId="0" borderId="11" xfId="0" applyNumberFormat="1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2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83" fontId="2" fillId="0" borderId="17" xfId="0" applyNumberFormat="1" applyFont="1" applyBorder="1" applyAlignment="1">
      <alignment horizontal="center" vertical="center"/>
    </xf>
    <xf numFmtId="183" fontId="2" fillId="0" borderId="26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183" fontId="8" fillId="0" borderId="23" xfId="0" applyNumberFormat="1" applyFont="1" applyBorder="1" applyAlignment="1">
      <alignment horizontal="center" vertical="center"/>
    </xf>
    <xf numFmtId="183" fontId="8" fillId="0" borderId="42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8" fillId="0" borderId="48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3" fontId="2" fillId="0" borderId="48" xfId="0" applyNumberFormat="1" applyFont="1" applyBorder="1" applyAlignment="1">
      <alignment horizontal="center" vertical="center"/>
    </xf>
    <xf numFmtId="183" fontId="2" fillId="0" borderId="42" xfId="0" applyNumberFormat="1" applyFont="1" applyBorder="1" applyAlignment="1">
      <alignment horizontal="center" vertical="center"/>
    </xf>
    <xf numFmtId="183" fontId="13" fillId="0" borderId="1" xfId="0" applyNumberFormat="1" applyFont="1" applyBorder="1" applyAlignment="1">
      <alignment horizontal="center" vertical="center"/>
    </xf>
    <xf numFmtId="183" fontId="2" fillId="0" borderId="0" xfId="0" applyNumberFormat="1" applyFont="1" applyAlignment="1">
      <alignment horizontal="center" vertical="center"/>
    </xf>
    <xf numFmtId="183" fontId="2" fillId="0" borderId="18" xfId="0" applyNumberFormat="1" applyFont="1" applyBorder="1" applyAlignment="1">
      <alignment horizontal="center" vertical="center"/>
    </xf>
    <xf numFmtId="183" fontId="2" fillId="0" borderId="2" xfId="0" applyNumberFormat="1" applyFont="1" applyBorder="1" applyAlignment="1">
      <alignment horizontal="center" vertical="center"/>
    </xf>
    <xf numFmtId="183" fontId="2" fillId="0" borderId="5" xfId="0" applyNumberFormat="1" applyFont="1" applyBorder="1" applyAlignment="1">
      <alignment horizontal="center" vertical="center"/>
    </xf>
    <xf numFmtId="183" fontId="8" fillId="0" borderId="2" xfId="0" applyNumberFormat="1" applyFont="1" applyBorder="1" applyAlignment="1">
      <alignment horizontal="center" vertical="center"/>
    </xf>
    <xf numFmtId="183" fontId="8" fillId="0" borderId="5" xfId="0" applyNumberFormat="1" applyFont="1" applyBorder="1" applyAlignment="1">
      <alignment horizontal="center" vertical="center"/>
    </xf>
    <xf numFmtId="183" fontId="8" fillId="0" borderId="43" xfId="0" applyNumberFormat="1" applyFont="1" applyBorder="1" applyAlignment="1">
      <alignment horizontal="center" vertical="center"/>
    </xf>
    <xf numFmtId="183" fontId="8" fillId="0" borderId="3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83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83" fontId="2" fillId="2" borderId="17" xfId="0" applyNumberFormat="1" applyFont="1" applyFill="1" applyBorder="1" applyAlignment="1">
      <alignment horizontal="center" vertical="center"/>
    </xf>
    <xf numFmtId="183" fontId="2" fillId="2" borderId="9" xfId="0" applyNumberFormat="1" applyFont="1" applyFill="1" applyBorder="1" applyAlignment="1">
      <alignment horizontal="center" vertical="center"/>
    </xf>
    <xf numFmtId="183" fontId="2" fillId="0" borderId="0" xfId="0" applyNumberFormat="1" applyFont="1">
      <alignment vertical="center"/>
    </xf>
    <xf numFmtId="0" fontId="11" fillId="0" borderId="1" xfId="0" applyFont="1" applyBorder="1" applyAlignment="1">
      <alignment vertical="center" wrapText="1"/>
    </xf>
    <xf numFmtId="183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183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183" fontId="15" fillId="0" borderId="0" xfId="0" applyNumberFormat="1" applyFont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shrinkToFit="1"/>
    </xf>
    <xf numFmtId="0" fontId="15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83" fontId="8" fillId="3" borderId="1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 shrinkToFit="1"/>
    </xf>
    <xf numFmtId="176" fontId="7" fillId="0" borderId="1" xfId="0" applyNumberFormat="1" applyFont="1" applyBorder="1" applyAlignment="1">
      <alignment horizontal="left" vertical="center" wrapText="1" shrinkToFit="1"/>
    </xf>
    <xf numFmtId="0" fontId="17" fillId="0" borderId="1" xfId="0" applyFont="1" applyBorder="1" applyAlignment="1">
      <alignment horizontal="left" vertical="center" wrapText="1" shrinkToFit="1"/>
    </xf>
    <xf numFmtId="0" fontId="19" fillId="0" borderId="23" xfId="0" applyFont="1" applyBorder="1" applyAlignment="1">
      <alignment horizontal="left" vertical="center" wrapText="1" shrinkToFit="1"/>
    </xf>
    <xf numFmtId="0" fontId="17" fillId="0" borderId="44" xfId="0" applyFont="1" applyBorder="1" applyAlignment="1">
      <alignment horizontal="left" vertical="center" wrapText="1" shrinkToFit="1"/>
    </xf>
    <xf numFmtId="0" fontId="17" fillId="0" borderId="45" xfId="0" applyFont="1" applyBorder="1" applyAlignment="1">
      <alignment horizontal="left" vertical="center" wrapText="1" shrinkToFit="1"/>
    </xf>
    <xf numFmtId="0" fontId="7" fillId="0" borderId="45" xfId="0" applyFont="1" applyBorder="1" applyAlignment="1">
      <alignment horizontal="left" vertical="center" wrapText="1" shrinkToFit="1"/>
    </xf>
    <xf numFmtId="0" fontId="7" fillId="0" borderId="45" xfId="0" applyFont="1" applyBorder="1" applyAlignment="1">
      <alignment vertical="center" wrapText="1" shrinkToFit="1"/>
    </xf>
    <xf numFmtId="0" fontId="7" fillId="0" borderId="45" xfId="0" applyFont="1" applyBorder="1" applyAlignment="1">
      <alignment vertical="center" wrapText="1"/>
    </xf>
    <xf numFmtId="0" fontId="17" fillId="0" borderId="49" xfId="0" applyFont="1" applyBorder="1" applyAlignment="1">
      <alignment vertical="center" wrapText="1" shrinkToFit="1"/>
    </xf>
    <xf numFmtId="0" fontId="17" fillId="0" borderId="44" xfId="0" applyFont="1" applyBorder="1" applyAlignment="1">
      <alignment vertical="center" wrapText="1" shrinkToFit="1"/>
    </xf>
    <xf numFmtId="0" fontId="17" fillId="0" borderId="50" xfId="0" applyFont="1" applyBorder="1" applyAlignment="1">
      <alignment vertical="center" wrapText="1" shrinkToFit="1"/>
    </xf>
    <xf numFmtId="0" fontId="17" fillId="0" borderId="45" xfId="0" applyFont="1" applyBorder="1" applyAlignment="1">
      <alignment vertical="center" wrapText="1"/>
    </xf>
    <xf numFmtId="0" fontId="17" fillId="0" borderId="45" xfId="0" applyFont="1" applyBorder="1" applyAlignment="1">
      <alignment vertical="center" wrapText="1" shrinkToFit="1"/>
    </xf>
    <xf numFmtId="0" fontId="17" fillId="0" borderId="51" xfId="0" applyFont="1" applyBorder="1" applyAlignment="1">
      <alignment horizontal="left" vertical="center" wrapText="1" shrinkToFit="1"/>
    </xf>
    <xf numFmtId="0" fontId="17" fillId="0" borderId="49" xfId="0" applyFont="1" applyBorder="1" applyAlignment="1">
      <alignment horizontal="left" vertical="center" wrapText="1" shrinkToFit="1"/>
    </xf>
    <xf numFmtId="0" fontId="20" fillId="0" borderId="45" xfId="0" applyFont="1" applyBorder="1" applyAlignment="1">
      <alignment horizontal="left" vertical="center" wrapText="1" shrinkToFit="1"/>
    </xf>
    <xf numFmtId="0" fontId="18" fillId="0" borderId="45" xfId="0" applyFont="1" applyBorder="1" applyAlignment="1">
      <alignment horizontal="left" vertical="center" wrapText="1" shrinkToFit="1"/>
    </xf>
    <xf numFmtId="0" fontId="20" fillId="0" borderId="45" xfId="0" applyFont="1" applyBorder="1" applyAlignment="1">
      <alignment horizontal="left" vertical="center" wrapText="1"/>
    </xf>
    <xf numFmtId="0" fontId="20" fillId="0" borderId="51" xfId="0" applyFont="1" applyBorder="1" applyAlignment="1">
      <alignment horizontal="left" vertical="center" wrapText="1" shrinkToFit="1"/>
    </xf>
    <xf numFmtId="0" fontId="20" fillId="0" borderId="1" xfId="0" applyFont="1" applyBorder="1" applyAlignment="1">
      <alignment horizontal="left" vertical="center" wrapText="1" shrinkToFit="1"/>
    </xf>
    <xf numFmtId="183" fontId="7" fillId="0" borderId="1" xfId="0" applyNumberFormat="1" applyFont="1" applyBorder="1" applyAlignment="1">
      <alignment vertical="center" wrapText="1"/>
    </xf>
    <xf numFmtId="183" fontId="18" fillId="0" borderId="1" xfId="0" applyNumberFormat="1" applyFont="1" applyBorder="1" applyAlignment="1">
      <alignment vertical="center" wrapText="1"/>
    </xf>
    <xf numFmtId="183" fontId="7" fillId="3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horizontal="left" vertical="center" wrapText="1" shrinkToFit="1"/>
    </xf>
    <xf numFmtId="0" fontId="10" fillId="0" borderId="45" xfId="0" applyFont="1" applyBorder="1" applyAlignment="1">
      <alignment horizontal="left" vertical="center" wrapText="1" shrinkToFit="1"/>
    </xf>
    <xf numFmtId="0" fontId="21" fillId="0" borderId="1" xfId="0" applyFont="1" applyBorder="1" applyAlignment="1">
      <alignment horizontal="left" vertical="center" wrapText="1" shrinkToFit="1"/>
    </xf>
    <xf numFmtId="0" fontId="22" fillId="0" borderId="1" xfId="0" applyFont="1" applyBorder="1" applyAlignment="1">
      <alignment horizontal="left" vertical="center" wrapText="1" shrinkToFit="1"/>
    </xf>
    <xf numFmtId="0" fontId="23" fillId="0" borderId="1" xfId="0" applyFont="1" applyBorder="1" applyAlignment="1">
      <alignment horizontal="left" vertical="center" wrapText="1" shrinkToFit="1"/>
    </xf>
    <xf numFmtId="0" fontId="24" fillId="0" borderId="1" xfId="0" applyFont="1" applyBorder="1" applyAlignment="1">
      <alignment horizontal="left" vertical="center" wrapText="1" shrinkToFit="1"/>
    </xf>
    <xf numFmtId="0" fontId="10" fillId="0" borderId="4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84" fontId="2" fillId="0" borderId="2" xfId="0" applyNumberFormat="1" applyFont="1" applyBorder="1" applyAlignment="1">
      <alignment horizontal="center" vertical="center"/>
    </xf>
    <xf numFmtId="184" fontId="2" fillId="0" borderId="3" xfId="0" applyNumberFormat="1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83" fontId="8" fillId="0" borderId="23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77" fontId="2" fillId="0" borderId="23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83" fontId="2" fillId="0" borderId="5" xfId="0" applyNumberFormat="1" applyFont="1" applyBorder="1" applyAlignment="1">
      <alignment horizontal="center" vertical="center"/>
    </xf>
    <xf numFmtId="183" fontId="2" fillId="0" borderId="9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9" fontId="2" fillId="0" borderId="14" xfId="0" applyNumberFormat="1" applyFont="1" applyBorder="1" applyAlignment="1">
      <alignment horizontal="center" vertical="center"/>
    </xf>
    <xf numFmtId="179" fontId="2" fillId="0" borderId="15" xfId="0" applyNumberFormat="1" applyFont="1" applyBorder="1" applyAlignment="1">
      <alignment horizontal="center" vertical="center"/>
    </xf>
    <xf numFmtId="179" fontId="2" fillId="0" borderId="1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 shrinkToFit="1"/>
    </xf>
    <xf numFmtId="184" fontId="2" fillId="0" borderId="5" xfId="0" applyNumberFormat="1" applyFont="1" applyBorder="1" applyAlignment="1">
      <alignment horizontal="center" vertical="center"/>
    </xf>
    <xf numFmtId="184" fontId="2" fillId="0" borderId="6" xfId="0" applyNumberFormat="1" applyFont="1" applyBorder="1" applyAlignment="1">
      <alignment horizontal="center" vertical="center"/>
    </xf>
    <xf numFmtId="184" fontId="2" fillId="0" borderId="7" xfId="0" applyNumberFormat="1" applyFont="1" applyBorder="1" applyAlignment="1">
      <alignment horizontal="center" vertical="center"/>
    </xf>
    <xf numFmtId="184" fontId="2" fillId="0" borderId="8" xfId="0" applyNumberFormat="1" applyFont="1" applyBorder="1" applyAlignment="1">
      <alignment horizontal="center" vertical="center"/>
    </xf>
    <xf numFmtId="184" fontId="2" fillId="0" borderId="9" xfId="0" applyNumberFormat="1" applyFont="1" applyBorder="1" applyAlignment="1">
      <alignment horizontal="center" vertical="center"/>
    </xf>
    <xf numFmtId="184" fontId="2" fillId="0" borderId="1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8" fontId="2" fillId="0" borderId="4" xfId="0" quotePrefix="1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176" fontId="2" fillId="0" borderId="22" xfId="0" applyNumberFormat="1" applyFont="1" applyBorder="1" applyAlignment="1">
      <alignment horizontal="left" vertical="center" shrinkToFit="1"/>
    </xf>
    <xf numFmtId="176" fontId="2" fillId="0" borderId="3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shrinkToFit="1"/>
    </xf>
    <xf numFmtId="0" fontId="7" fillId="0" borderId="22" xfId="0" applyFont="1" applyBorder="1" applyAlignment="1">
      <alignment horizontal="left" vertical="center" wrapText="1" shrinkToFit="1"/>
    </xf>
    <xf numFmtId="0" fontId="7" fillId="0" borderId="3" xfId="0" applyFont="1" applyBorder="1" applyAlignment="1">
      <alignment horizontal="left" vertical="center" wrapText="1" shrinkToFit="1"/>
    </xf>
    <xf numFmtId="177" fontId="2" fillId="2" borderId="17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2" borderId="18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 shrinkToFit="1"/>
    </xf>
    <xf numFmtId="0" fontId="11" fillId="0" borderId="4" xfId="0" applyFont="1" applyBorder="1" applyAlignment="1">
      <alignment horizontal="left" vertical="center" wrapText="1" shrinkToFit="1"/>
    </xf>
    <xf numFmtId="0" fontId="11" fillId="0" borderId="3" xfId="0" applyFont="1" applyBorder="1" applyAlignment="1">
      <alignment horizontal="left" vertical="center" wrapText="1" shrinkToFit="1"/>
    </xf>
    <xf numFmtId="177" fontId="2" fillId="2" borderId="28" xfId="0" applyNumberFormat="1" applyFont="1" applyFill="1" applyBorder="1" applyAlignment="1">
      <alignment horizontal="center" vertical="center"/>
    </xf>
    <xf numFmtId="177" fontId="2" fillId="2" borderId="11" xfId="0" applyNumberFormat="1" applyFont="1" applyFill="1" applyBorder="1" applyAlignment="1">
      <alignment horizontal="center" vertical="center"/>
    </xf>
    <xf numFmtId="177" fontId="2" fillId="2" borderId="29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 shrinkToFit="1"/>
    </xf>
    <xf numFmtId="0" fontId="5" fillId="0" borderId="3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center" vertical="center" wrapText="1" shrinkToFit="1"/>
    </xf>
    <xf numFmtId="0" fontId="2" fillId="0" borderId="4" xfId="0" applyFont="1" applyBorder="1" applyAlignment="1">
      <alignment horizontal="left" vertical="center" shrinkToFit="1"/>
    </xf>
    <xf numFmtId="0" fontId="2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left" vertical="center" shrinkToFit="1"/>
    </xf>
    <xf numFmtId="0" fontId="8" fillId="3" borderId="2" xfId="0" applyFont="1" applyFill="1" applyBorder="1" applyAlignment="1">
      <alignment horizontal="left" vertical="center" wrapText="1" indent="1"/>
    </xf>
    <xf numFmtId="0" fontId="8" fillId="3" borderId="4" xfId="0" applyFont="1" applyFill="1" applyBorder="1" applyAlignment="1">
      <alignment horizontal="left" vertical="center" wrapText="1" indent="1"/>
    </xf>
    <xf numFmtId="0" fontId="8" fillId="3" borderId="32" xfId="0" applyFont="1" applyFill="1" applyBorder="1" applyAlignment="1">
      <alignment horizontal="left" vertical="center" wrapText="1" indent="1"/>
    </xf>
    <xf numFmtId="0" fontId="10" fillId="3" borderId="2" xfId="0" applyFont="1" applyFill="1" applyBorder="1" applyAlignment="1">
      <alignment horizontal="left" vertical="center" wrapText="1"/>
    </xf>
    <xf numFmtId="0" fontId="10" fillId="3" borderId="3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shrinkToFit="1"/>
    </xf>
    <xf numFmtId="0" fontId="8" fillId="3" borderId="32" xfId="0" applyFont="1" applyFill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left" vertical="center" wrapText="1" indent="1"/>
    </xf>
    <xf numFmtId="0" fontId="8" fillId="3" borderId="37" xfId="0" applyFont="1" applyFill="1" applyBorder="1" applyAlignment="1">
      <alignment horizontal="left" vertical="center" wrapText="1" indent="1"/>
    </xf>
    <xf numFmtId="0" fontId="8" fillId="3" borderId="36" xfId="0" applyFont="1" applyFill="1" applyBorder="1" applyAlignment="1">
      <alignment horizontal="left" vertical="center" wrapText="1" indent="1"/>
    </xf>
    <xf numFmtId="0" fontId="8" fillId="3" borderId="35" xfId="0" applyFont="1" applyFill="1" applyBorder="1" applyAlignment="1">
      <alignment horizontal="left" vertical="center" shrinkToFit="1"/>
    </xf>
    <xf numFmtId="0" fontId="8" fillId="3" borderId="36" xfId="0" applyFont="1" applyFill="1" applyBorder="1" applyAlignment="1">
      <alignment horizontal="left" vertical="center" shrinkToFit="1"/>
    </xf>
    <xf numFmtId="0" fontId="2" fillId="0" borderId="4" xfId="0" applyFont="1" applyBorder="1" applyAlignment="1">
      <alignment horizontal="center" vertical="center"/>
    </xf>
    <xf numFmtId="178" fontId="2" fillId="2" borderId="19" xfId="0" applyNumberFormat="1" applyFont="1" applyFill="1" applyBorder="1" applyAlignment="1">
      <alignment horizontal="center" vertical="center"/>
    </xf>
    <xf numFmtId="178" fontId="2" fillId="2" borderId="20" xfId="0" applyNumberFormat="1" applyFont="1" applyFill="1" applyBorder="1" applyAlignment="1">
      <alignment horizontal="center" vertical="center"/>
    </xf>
    <xf numFmtId="178" fontId="2" fillId="2" borderId="2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8" fillId="3" borderId="2" xfId="0" applyFont="1" applyFill="1" applyBorder="1" applyAlignment="1">
      <alignment vertical="center" shrinkToFit="1"/>
    </xf>
    <xf numFmtId="0" fontId="8" fillId="3" borderId="32" xfId="0" applyFont="1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top" wrapText="1"/>
    </xf>
    <xf numFmtId="0" fontId="0" fillId="0" borderId="25" xfId="0" applyBorder="1" applyAlignment="1">
      <alignment horizontal="left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3" xfId="0" applyNumberFormat="1" applyFont="1" applyBorder="1" applyAlignment="1">
      <alignment horizontal="center" vertical="center"/>
    </xf>
    <xf numFmtId="178" fontId="2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13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178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6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colors>
    <mruColors>
      <color rgb="FFEFCD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B9584E-8749-4AAE-8CB1-37460C9917BB}">
  <we:reference id="wa200005271" version="2.4.2.0" store="zh-TW" storeType="OMEX"/>
  <we:alternateReferences>
    <we:reference id="wa200005271" version="2.4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CC52-0A97-4F30-9768-920A85AE6A47}">
  <sheetPr>
    <pageSetUpPr fitToPage="1"/>
  </sheetPr>
  <dimension ref="A1:K97"/>
  <sheetViews>
    <sheetView topLeftCell="B5" zoomScale="130" zoomScaleNormal="130" zoomScaleSheetLayoutView="75" workbookViewId="0">
      <selection activeCell="D15" sqref="D15"/>
    </sheetView>
  </sheetViews>
  <sheetFormatPr defaultRowHeight="16.5" x14ac:dyDescent="0.25"/>
  <cols>
    <col min="1" max="1" width="8.125" style="2" customWidth="1"/>
    <col min="2" max="2" width="4" style="2" customWidth="1"/>
    <col min="3" max="3" width="12.875" style="2" customWidth="1"/>
    <col min="4" max="4" width="22" style="1" customWidth="1"/>
    <col min="5" max="5" width="12" style="5" hidden="1" customWidth="1"/>
    <col min="6" max="6" width="12.875" style="3" customWidth="1"/>
    <col min="7" max="7" width="8.75" style="4" customWidth="1"/>
    <col min="8" max="8" width="12.875" style="3" customWidth="1"/>
    <col min="9" max="9" width="10.25" style="8" customWidth="1"/>
    <col min="10" max="10" width="24.625" style="6" customWidth="1"/>
    <col min="11" max="11" width="18.375" style="1" customWidth="1"/>
    <col min="12" max="16384" width="9" style="1"/>
  </cols>
  <sheetData>
    <row r="1" spans="1:11" ht="32.25" customHeight="1" x14ac:dyDescent="0.25">
      <c r="A1" s="162" t="s">
        <v>78</v>
      </c>
      <c r="B1" s="162"/>
      <c r="C1" s="162"/>
      <c r="D1" s="162"/>
      <c r="E1" s="162"/>
      <c r="F1" s="162"/>
      <c r="G1" s="162"/>
      <c r="H1" s="162"/>
      <c r="I1" s="186" t="s">
        <v>106</v>
      </c>
      <c r="J1" s="186"/>
    </row>
    <row r="2" spans="1:11" ht="15" customHeight="1" thickBot="1" x14ac:dyDescent="0.3">
      <c r="A2" s="162"/>
      <c r="B2" s="162"/>
      <c r="C2" s="162"/>
      <c r="D2" s="162"/>
      <c r="E2" s="162"/>
      <c r="F2" s="162"/>
      <c r="G2" s="162"/>
      <c r="H2" s="162"/>
      <c r="I2" s="162"/>
      <c r="J2" s="162"/>
    </row>
    <row r="3" spans="1:11" ht="17.25" thickTop="1" x14ac:dyDescent="0.25">
      <c r="A3" s="145" t="s">
        <v>10</v>
      </c>
      <c r="B3" s="145" t="s">
        <v>30</v>
      </c>
      <c r="C3" s="145"/>
      <c r="D3" s="164"/>
      <c r="E3" s="18" t="s">
        <v>7</v>
      </c>
      <c r="F3" s="165" t="s">
        <v>91</v>
      </c>
      <c r="G3" s="166"/>
      <c r="H3" s="167"/>
      <c r="I3" s="182" t="s">
        <v>4</v>
      </c>
      <c r="J3" s="183"/>
    </row>
    <row r="4" spans="1:11" x14ac:dyDescent="0.25">
      <c r="A4" s="145"/>
      <c r="B4" s="145"/>
      <c r="C4" s="145"/>
      <c r="D4" s="164"/>
      <c r="E4" s="18"/>
      <c r="F4" s="15" t="s">
        <v>2</v>
      </c>
      <c r="G4" s="12" t="s">
        <v>5</v>
      </c>
      <c r="H4" s="16" t="s">
        <v>3</v>
      </c>
      <c r="I4" s="182"/>
      <c r="J4" s="183"/>
    </row>
    <row r="5" spans="1:11" ht="16.5" customHeight="1" x14ac:dyDescent="0.25">
      <c r="A5" s="10">
        <v>1</v>
      </c>
      <c r="B5" s="176" t="s">
        <v>94</v>
      </c>
      <c r="C5" s="176"/>
      <c r="D5" s="177"/>
      <c r="E5" s="178" t="s">
        <v>9</v>
      </c>
      <c r="F5" s="15">
        <v>45128</v>
      </c>
      <c r="G5" s="12">
        <v>13</v>
      </c>
      <c r="H5" s="16">
        <f t="shared" ref="H5:H10" si="0">F5+G5-1</f>
        <v>45140</v>
      </c>
      <c r="I5" s="180" t="s">
        <v>79</v>
      </c>
      <c r="J5" s="181"/>
      <c r="K5" s="32"/>
    </row>
    <row r="6" spans="1:11" x14ac:dyDescent="0.25">
      <c r="A6" s="10">
        <v>2</v>
      </c>
      <c r="B6" s="176" t="s">
        <v>8</v>
      </c>
      <c r="C6" s="176"/>
      <c r="D6" s="177"/>
      <c r="E6" s="179"/>
      <c r="F6" s="15">
        <f>H5+1</f>
        <v>45141</v>
      </c>
      <c r="G6" s="12">
        <v>150</v>
      </c>
      <c r="H6" s="16">
        <f t="shared" si="0"/>
        <v>45290</v>
      </c>
      <c r="I6" s="182"/>
      <c r="J6" s="183"/>
    </row>
    <row r="7" spans="1:11" ht="16.5" customHeight="1" x14ac:dyDescent="0.25">
      <c r="A7" s="10">
        <v>3</v>
      </c>
      <c r="B7" s="176" t="s">
        <v>12</v>
      </c>
      <c r="C7" s="176"/>
      <c r="D7" s="177"/>
      <c r="E7" s="179" t="e">
        <f>SUM(#REF!)</f>
        <v>#REF!</v>
      </c>
      <c r="F7" s="15">
        <v>45292</v>
      </c>
      <c r="G7" s="12">
        <v>60</v>
      </c>
      <c r="H7" s="16">
        <f t="shared" si="0"/>
        <v>45351</v>
      </c>
      <c r="I7" s="184" t="s">
        <v>95</v>
      </c>
      <c r="J7" s="185"/>
    </row>
    <row r="8" spans="1:11" ht="19.5" customHeight="1" x14ac:dyDescent="0.25">
      <c r="A8" s="145">
        <v>4</v>
      </c>
      <c r="B8" s="161" t="s">
        <v>11</v>
      </c>
      <c r="C8" s="161"/>
      <c r="D8" s="17" t="s">
        <v>13</v>
      </c>
      <c r="E8" s="179"/>
      <c r="F8" s="15">
        <v>45444</v>
      </c>
      <c r="G8" s="12">
        <v>90</v>
      </c>
      <c r="H8" s="16">
        <f t="shared" si="0"/>
        <v>45533</v>
      </c>
      <c r="I8" s="188" t="s">
        <v>102</v>
      </c>
      <c r="J8" s="180"/>
    </row>
    <row r="9" spans="1:11" ht="16.5" customHeight="1" x14ac:dyDescent="0.25">
      <c r="A9" s="145"/>
      <c r="B9" s="161"/>
      <c r="C9" s="161"/>
      <c r="D9" s="17" t="s">
        <v>77</v>
      </c>
      <c r="E9" s="179" t="e">
        <f>SUM(#REF!)</f>
        <v>#REF!</v>
      </c>
      <c r="F9" s="19">
        <f>H8+1</f>
        <v>45534</v>
      </c>
      <c r="G9" s="20">
        <v>30</v>
      </c>
      <c r="H9" s="21">
        <f t="shared" si="0"/>
        <v>45563</v>
      </c>
      <c r="I9" s="194"/>
      <c r="J9" s="195"/>
    </row>
    <row r="10" spans="1:11" ht="49.5" x14ac:dyDescent="0.25">
      <c r="A10" s="145"/>
      <c r="B10" s="161"/>
      <c r="C10" s="161"/>
      <c r="D10" s="17" t="s">
        <v>14</v>
      </c>
      <c r="E10" s="179"/>
      <c r="F10" s="15">
        <f>H9+1</f>
        <v>45564</v>
      </c>
      <c r="G10" s="12">
        <v>211</v>
      </c>
      <c r="H10" s="16">
        <f t="shared" si="0"/>
        <v>45774</v>
      </c>
      <c r="I10" s="196" t="s">
        <v>104</v>
      </c>
      <c r="J10" s="197"/>
      <c r="K10" s="35" t="s">
        <v>103</v>
      </c>
    </row>
    <row r="11" spans="1:11" x14ac:dyDescent="0.25">
      <c r="A11" s="145"/>
      <c r="B11" s="161"/>
      <c r="C11" s="161"/>
      <c r="D11" s="14" t="s">
        <v>15</v>
      </c>
      <c r="E11" s="18"/>
      <c r="F11" s="198">
        <f>SUM(G8:G10)</f>
        <v>331</v>
      </c>
      <c r="G11" s="199"/>
      <c r="H11" s="200"/>
      <c r="I11" s="180"/>
      <c r="J11" s="181"/>
    </row>
    <row r="12" spans="1:11" ht="16.5" customHeight="1" x14ac:dyDescent="0.25">
      <c r="A12" s="145">
        <v>5</v>
      </c>
      <c r="B12" s="161" t="s">
        <v>22</v>
      </c>
      <c r="C12" s="161"/>
      <c r="D12" s="17" t="s">
        <v>80</v>
      </c>
      <c r="E12" s="179" t="e">
        <f>SUM(#REF!)</f>
        <v>#REF!</v>
      </c>
      <c r="F12" s="34">
        <f>H10+1</f>
        <v>45775</v>
      </c>
      <c r="G12" s="12">
        <v>54</v>
      </c>
      <c r="H12" s="16">
        <f>F12+G12-1</f>
        <v>45828</v>
      </c>
      <c r="I12" s="188" t="s">
        <v>86</v>
      </c>
      <c r="J12" s="180"/>
      <c r="K12" s="187" t="s">
        <v>105</v>
      </c>
    </row>
    <row r="13" spans="1:11" x14ac:dyDescent="0.25">
      <c r="A13" s="145"/>
      <c r="B13" s="161"/>
      <c r="C13" s="161"/>
      <c r="D13" s="17" t="s">
        <v>81</v>
      </c>
      <c r="E13" s="179"/>
      <c r="F13" s="15">
        <f>H12+1</f>
        <v>45829</v>
      </c>
      <c r="G13" s="12">
        <v>30</v>
      </c>
      <c r="H13" s="16">
        <f>F13+G13-1</f>
        <v>45858</v>
      </c>
      <c r="I13" s="188" t="s">
        <v>84</v>
      </c>
      <c r="J13" s="180"/>
      <c r="K13" s="187"/>
    </row>
    <row r="14" spans="1:11" x14ac:dyDescent="0.25">
      <c r="A14" s="145"/>
      <c r="B14" s="161"/>
      <c r="C14" s="161"/>
      <c r="D14" s="17" t="s">
        <v>82</v>
      </c>
      <c r="E14" s="179"/>
      <c r="F14" s="15">
        <f>H13+1</f>
        <v>45859</v>
      </c>
      <c r="G14" s="12">
        <v>30</v>
      </c>
      <c r="H14" s="16">
        <f>F14+G14-1</f>
        <v>45888</v>
      </c>
      <c r="I14" s="188" t="s">
        <v>76</v>
      </c>
      <c r="J14" s="180"/>
      <c r="K14" s="187"/>
    </row>
    <row r="15" spans="1:11" ht="32.25" customHeight="1" x14ac:dyDescent="0.25">
      <c r="A15" s="145"/>
      <c r="B15" s="161"/>
      <c r="C15" s="161"/>
      <c r="D15" s="17" t="s">
        <v>83</v>
      </c>
      <c r="E15" s="179"/>
      <c r="F15" s="15">
        <f>H14+1</f>
        <v>45889</v>
      </c>
      <c r="G15" s="12">
        <v>40</v>
      </c>
      <c r="H15" s="16">
        <f>F15+G15-1</f>
        <v>45928</v>
      </c>
      <c r="I15" s="189" t="s">
        <v>85</v>
      </c>
      <c r="J15" s="190"/>
      <c r="K15" s="187"/>
    </row>
    <row r="16" spans="1:11" x14ac:dyDescent="0.25">
      <c r="A16" s="145"/>
      <c r="B16" s="161"/>
      <c r="C16" s="161"/>
      <c r="D16" s="17" t="s">
        <v>54</v>
      </c>
      <c r="E16" s="179"/>
      <c r="F16" s="15">
        <f>H15+1</f>
        <v>45929</v>
      </c>
      <c r="G16" s="12">
        <v>50</v>
      </c>
      <c r="H16" s="16">
        <f>F16+G16-1</f>
        <v>45978</v>
      </c>
      <c r="I16" s="188" t="s">
        <v>93</v>
      </c>
      <c r="J16" s="180"/>
      <c r="K16" s="187"/>
    </row>
    <row r="17" spans="1:10" x14ac:dyDescent="0.25">
      <c r="A17" s="145"/>
      <c r="B17" s="161"/>
      <c r="C17" s="161"/>
      <c r="D17" s="14" t="s">
        <v>15</v>
      </c>
      <c r="E17" s="18"/>
      <c r="F17" s="191">
        <f>SUM(G12:G16)</f>
        <v>204</v>
      </c>
      <c r="G17" s="192"/>
      <c r="H17" s="193"/>
      <c r="I17" s="180"/>
      <c r="J17" s="181"/>
    </row>
    <row r="18" spans="1:10" ht="16.5" customHeight="1" x14ac:dyDescent="0.25">
      <c r="A18" s="145">
        <v>6</v>
      </c>
      <c r="B18" s="161" t="s">
        <v>32</v>
      </c>
      <c r="C18" s="161"/>
      <c r="D18" s="17" t="s">
        <v>37</v>
      </c>
      <c r="E18" s="18" t="e">
        <f>SUM(#REF!)</f>
        <v>#REF!</v>
      </c>
      <c r="F18" s="15">
        <f>H16+1</f>
        <v>45979</v>
      </c>
      <c r="G18" s="12">
        <v>40</v>
      </c>
      <c r="H18" s="16">
        <f t="shared" ref="H18:H32" si="1">F18+G18-1</f>
        <v>46018</v>
      </c>
      <c r="I18" s="180" t="s">
        <v>89</v>
      </c>
      <c r="J18" s="181"/>
    </row>
    <row r="19" spans="1:10" x14ac:dyDescent="0.25">
      <c r="A19" s="145"/>
      <c r="B19" s="161"/>
      <c r="C19" s="161"/>
      <c r="D19" s="17" t="s">
        <v>38</v>
      </c>
      <c r="E19" s="18"/>
      <c r="F19" s="15">
        <f>H18+1</f>
        <v>46019</v>
      </c>
      <c r="G19" s="12">
        <v>30</v>
      </c>
      <c r="H19" s="16">
        <f t="shared" si="1"/>
        <v>46048</v>
      </c>
      <c r="I19" s="188" t="s">
        <v>35</v>
      </c>
      <c r="J19" s="180"/>
    </row>
    <row r="20" spans="1:10" ht="16.5" customHeight="1" x14ac:dyDescent="0.25">
      <c r="A20" s="33">
        <v>7</v>
      </c>
      <c r="B20" s="157" t="s">
        <v>31</v>
      </c>
      <c r="C20" s="158"/>
      <c r="D20" s="31" t="s">
        <v>88</v>
      </c>
      <c r="E20" s="18"/>
      <c r="F20" s="15">
        <f>H19+1</f>
        <v>46049</v>
      </c>
      <c r="G20" s="12">
        <v>50</v>
      </c>
      <c r="H20" s="16">
        <f t="shared" si="1"/>
        <v>46098</v>
      </c>
      <c r="I20" s="188" t="s">
        <v>59</v>
      </c>
      <c r="J20" s="180"/>
    </row>
    <row r="21" spans="1:10" ht="16.5" customHeight="1" x14ac:dyDescent="0.25">
      <c r="A21" s="145">
        <v>8</v>
      </c>
      <c r="B21" s="161" t="s">
        <v>16</v>
      </c>
      <c r="C21" s="161"/>
      <c r="D21" s="17" t="s">
        <v>39</v>
      </c>
      <c r="E21" s="18"/>
      <c r="F21" s="15">
        <f>H19+1</f>
        <v>46049</v>
      </c>
      <c r="G21" s="12">
        <v>18</v>
      </c>
      <c r="H21" s="16">
        <f t="shared" si="1"/>
        <v>46066</v>
      </c>
      <c r="I21" s="188"/>
      <c r="J21" s="180"/>
    </row>
    <row r="22" spans="1:10" ht="16.5" customHeight="1" x14ac:dyDescent="0.25">
      <c r="A22" s="145"/>
      <c r="B22" s="161"/>
      <c r="C22" s="161"/>
      <c r="D22" s="17" t="s">
        <v>40</v>
      </c>
      <c r="E22" s="18"/>
      <c r="F22" s="15">
        <f t="shared" ref="F22:F37" si="2">H21+1</f>
        <v>46067</v>
      </c>
      <c r="G22" s="12">
        <v>18</v>
      </c>
      <c r="H22" s="16">
        <f t="shared" si="1"/>
        <v>46084</v>
      </c>
      <c r="I22" s="180"/>
      <c r="J22" s="181"/>
    </row>
    <row r="23" spans="1:10" x14ac:dyDescent="0.25">
      <c r="A23" s="145"/>
      <c r="B23" s="161"/>
      <c r="C23" s="161"/>
      <c r="D23" s="17" t="s">
        <v>41</v>
      </c>
      <c r="E23" s="18"/>
      <c r="F23" s="15">
        <f t="shared" si="2"/>
        <v>46085</v>
      </c>
      <c r="G23" s="12">
        <v>24</v>
      </c>
      <c r="H23" s="16">
        <f t="shared" si="1"/>
        <v>46108</v>
      </c>
      <c r="I23" s="188" t="s">
        <v>87</v>
      </c>
      <c r="J23" s="180"/>
    </row>
    <row r="24" spans="1:10" x14ac:dyDescent="0.25">
      <c r="A24" s="145"/>
      <c r="B24" s="161"/>
      <c r="C24" s="161"/>
      <c r="D24" s="17" t="s">
        <v>55</v>
      </c>
      <c r="E24" s="18"/>
      <c r="F24" s="15">
        <f>H23+1</f>
        <v>46109</v>
      </c>
      <c r="G24" s="12">
        <v>30</v>
      </c>
      <c r="H24" s="16">
        <f t="shared" si="1"/>
        <v>46138</v>
      </c>
      <c r="I24" s="188" t="s">
        <v>56</v>
      </c>
      <c r="J24" s="180"/>
    </row>
    <row r="25" spans="1:10" x14ac:dyDescent="0.25">
      <c r="A25" s="145"/>
      <c r="B25" s="161"/>
      <c r="C25" s="161"/>
      <c r="D25" s="17" t="s">
        <v>42</v>
      </c>
      <c r="E25" s="18"/>
      <c r="F25" s="15">
        <f>H23+1</f>
        <v>46109</v>
      </c>
      <c r="G25" s="12">
        <v>18</v>
      </c>
      <c r="H25" s="16">
        <f t="shared" si="1"/>
        <v>46126</v>
      </c>
      <c r="I25" s="180" t="s">
        <v>90</v>
      </c>
      <c r="J25" s="181"/>
    </row>
    <row r="26" spans="1:10" x14ac:dyDescent="0.25">
      <c r="A26" s="145"/>
      <c r="B26" s="161"/>
      <c r="C26" s="161"/>
      <c r="D26" s="17" t="s">
        <v>57</v>
      </c>
      <c r="E26" s="18"/>
      <c r="F26" s="15">
        <f>H25+1</f>
        <v>46127</v>
      </c>
      <c r="G26" s="12">
        <v>30</v>
      </c>
      <c r="H26" s="16">
        <f t="shared" si="1"/>
        <v>46156</v>
      </c>
      <c r="I26" s="188" t="s">
        <v>58</v>
      </c>
      <c r="J26" s="180"/>
    </row>
    <row r="27" spans="1:10" x14ac:dyDescent="0.25">
      <c r="A27" s="145"/>
      <c r="B27" s="161"/>
      <c r="C27" s="161"/>
      <c r="D27" s="17" t="s">
        <v>43</v>
      </c>
      <c r="E27" s="18"/>
      <c r="F27" s="15">
        <f>H25+1</f>
        <v>46127</v>
      </c>
      <c r="G27" s="12">
        <v>18</v>
      </c>
      <c r="H27" s="16">
        <f t="shared" si="1"/>
        <v>46144</v>
      </c>
      <c r="I27" s="188" t="s">
        <v>71</v>
      </c>
      <c r="J27" s="180"/>
    </row>
    <row r="28" spans="1:10" x14ac:dyDescent="0.25">
      <c r="A28" s="145"/>
      <c r="B28" s="161"/>
      <c r="C28" s="161"/>
      <c r="D28" s="17" t="s">
        <v>44</v>
      </c>
      <c r="E28" s="18"/>
      <c r="F28" s="15">
        <f t="shared" si="2"/>
        <v>46145</v>
      </c>
      <c r="G28" s="12">
        <v>18</v>
      </c>
      <c r="H28" s="16">
        <f t="shared" si="1"/>
        <v>46162</v>
      </c>
      <c r="I28" s="205"/>
      <c r="J28" s="180"/>
    </row>
    <row r="29" spans="1:10" x14ac:dyDescent="0.25">
      <c r="A29" s="145"/>
      <c r="B29" s="161"/>
      <c r="C29" s="161"/>
      <c r="D29" s="17" t="s">
        <v>45</v>
      </c>
      <c r="E29" s="18"/>
      <c r="F29" s="15">
        <f t="shared" si="2"/>
        <v>46163</v>
      </c>
      <c r="G29" s="12">
        <v>18</v>
      </c>
      <c r="H29" s="16">
        <f t="shared" si="1"/>
        <v>46180</v>
      </c>
      <c r="I29" s="188"/>
      <c r="J29" s="180"/>
    </row>
    <row r="30" spans="1:10" x14ac:dyDescent="0.25">
      <c r="A30" s="145"/>
      <c r="B30" s="161"/>
      <c r="C30" s="161"/>
      <c r="D30" s="17" t="s">
        <v>46</v>
      </c>
      <c r="E30" s="18"/>
      <c r="F30" s="15">
        <f t="shared" si="2"/>
        <v>46181</v>
      </c>
      <c r="G30" s="12">
        <v>18</v>
      </c>
      <c r="H30" s="16">
        <f t="shared" si="1"/>
        <v>46198</v>
      </c>
      <c r="I30" s="205"/>
      <c r="J30" s="180"/>
    </row>
    <row r="31" spans="1:10" x14ac:dyDescent="0.25">
      <c r="A31" s="145"/>
      <c r="B31" s="161"/>
      <c r="C31" s="161"/>
      <c r="D31" s="17" t="s">
        <v>47</v>
      </c>
      <c r="E31" s="18"/>
      <c r="F31" s="15">
        <f t="shared" si="2"/>
        <v>46199</v>
      </c>
      <c r="G31" s="12">
        <v>18</v>
      </c>
      <c r="H31" s="16">
        <f t="shared" si="1"/>
        <v>46216</v>
      </c>
      <c r="I31" s="205" t="s">
        <v>35</v>
      </c>
      <c r="J31" s="180"/>
    </row>
    <row r="32" spans="1:10" x14ac:dyDescent="0.25">
      <c r="A32" s="145"/>
      <c r="B32" s="161"/>
      <c r="C32" s="161"/>
      <c r="D32" s="17" t="s">
        <v>48</v>
      </c>
      <c r="E32" s="18"/>
      <c r="F32" s="15">
        <f t="shared" si="2"/>
        <v>46217</v>
      </c>
      <c r="G32" s="12">
        <v>18</v>
      </c>
      <c r="H32" s="16">
        <f t="shared" si="1"/>
        <v>46234</v>
      </c>
      <c r="I32" s="182"/>
      <c r="J32" s="183"/>
    </row>
    <row r="33" spans="1:10" x14ac:dyDescent="0.25">
      <c r="A33" s="145"/>
      <c r="B33" s="161"/>
      <c r="C33" s="161"/>
      <c r="D33" s="17" t="s">
        <v>49</v>
      </c>
      <c r="E33" s="18"/>
      <c r="F33" s="15">
        <f t="shared" si="2"/>
        <v>46235</v>
      </c>
      <c r="G33" s="12">
        <v>18</v>
      </c>
      <c r="H33" s="16">
        <f>F33+G33-1</f>
        <v>46252</v>
      </c>
      <c r="I33" s="180"/>
      <c r="J33" s="181"/>
    </row>
    <row r="34" spans="1:10" x14ac:dyDescent="0.25">
      <c r="A34" s="145"/>
      <c r="B34" s="161"/>
      <c r="C34" s="161"/>
      <c r="D34" s="17" t="s">
        <v>50</v>
      </c>
      <c r="E34" s="18"/>
      <c r="F34" s="15">
        <f>H33+1</f>
        <v>46253</v>
      </c>
      <c r="G34" s="12">
        <v>16</v>
      </c>
      <c r="H34" s="16">
        <f>F34+G34-1</f>
        <v>46268</v>
      </c>
      <c r="I34" s="182"/>
      <c r="J34" s="183"/>
    </row>
    <row r="35" spans="1:10" x14ac:dyDescent="0.25">
      <c r="A35" s="145"/>
      <c r="B35" s="161"/>
      <c r="C35" s="161"/>
      <c r="D35" s="17" t="s">
        <v>51</v>
      </c>
      <c r="E35" s="18"/>
      <c r="F35" s="15">
        <f t="shared" si="2"/>
        <v>46269</v>
      </c>
      <c r="G35" s="12">
        <v>40</v>
      </c>
      <c r="H35" s="16">
        <f>F35+G35-1</f>
        <v>46308</v>
      </c>
      <c r="I35" s="180" t="s">
        <v>97</v>
      </c>
      <c r="J35" s="181"/>
    </row>
    <row r="36" spans="1:10" x14ac:dyDescent="0.25">
      <c r="A36" s="145"/>
      <c r="B36" s="161"/>
      <c r="C36" s="161"/>
      <c r="D36" s="17" t="s">
        <v>52</v>
      </c>
      <c r="E36" s="18"/>
      <c r="F36" s="15">
        <f t="shared" si="2"/>
        <v>46309</v>
      </c>
      <c r="G36" s="12">
        <v>32</v>
      </c>
      <c r="H36" s="16">
        <f>F36+G36-1</f>
        <v>46340</v>
      </c>
      <c r="I36" s="180"/>
      <c r="J36" s="181"/>
    </row>
    <row r="37" spans="1:10" ht="16.5" customHeight="1" x14ac:dyDescent="0.25">
      <c r="A37" s="145"/>
      <c r="B37" s="161"/>
      <c r="C37" s="161"/>
      <c r="D37" s="17" t="s">
        <v>53</v>
      </c>
      <c r="E37" s="18"/>
      <c r="F37" s="15">
        <f t="shared" si="2"/>
        <v>46341</v>
      </c>
      <c r="G37" s="12">
        <v>26</v>
      </c>
      <c r="H37" s="16">
        <f>F37+G37-1</f>
        <v>46366</v>
      </c>
      <c r="I37" s="180" t="s">
        <v>98</v>
      </c>
      <c r="J37" s="181"/>
    </row>
    <row r="38" spans="1:10" ht="16.5" customHeight="1" x14ac:dyDescent="0.25">
      <c r="A38" s="145"/>
      <c r="B38" s="161"/>
      <c r="C38" s="161"/>
      <c r="D38" s="14" t="s">
        <v>15</v>
      </c>
      <c r="E38" s="18"/>
      <c r="F38" s="191">
        <f>SUM(G18:G37)</f>
        <v>498</v>
      </c>
      <c r="G38" s="192"/>
      <c r="H38" s="193"/>
      <c r="I38" s="203"/>
      <c r="J38" s="204"/>
    </row>
    <row r="39" spans="1:10" x14ac:dyDescent="0.25">
      <c r="A39" s="145">
        <v>9</v>
      </c>
      <c r="B39" s="145" t="s">
        <v>75</v>
      </c>
      <c r="C39" s="145"/>
      <c r="D39" s="17" t="s">
        <v>17</v>
      </c>
      <c r="E39" s="18" t="e">
        <f>SUM(#REF!)</f>
        <v>#REF!</v>
      </c>
      <c r="F39" s="15">
        <f>H34+1</f>
        <v>46269</v>
      </c>
      <c r="G39" s="12">
        <v>240</v>
      </c>
      <c r="H39" s="16">
        <f>F39+G39-1</f>
        <v>46508</v>
      </c>
      <c r="I39" s="201" t="s">
        <v>96</v>
      </c>
      <c r="J39" s="202"/>
    </row>
    <row r="40" spans="1:10" x14ac:dyDescent="0.25">
      <c r="A40" s="145"/>
      <c r="B40" s="145"/>
      <c r="C40" s="145"/>
      <c r="D40" s="14" t="s">
        <v>15</v>
      </c>
      <c r="E40" s="18"/>
      <c r="F40" s="191">
        <f>SUM(G39)</f>
        <v>240</v>
      </c>
      <c r="G40" s="192"/>
      <c r="H40" s="193"/>
      <c r="I40" s="203"/>
      <c r="J40" s="204"/>
    </row>
    <row r="41" spans="1:10" x14ac:dyDescent="0.25">
      <c r="A41" s="10">
        <v>10</v>
      </c>
      <c r="B41" s="145" t="s">
        <v>0</v>
      </c>
      <c r="C41" s="145"/>
      <c r="D41" s="17" t="s">
        <v>18</v>
      </c>
      <c r="E41" s="18" t="e">
        <f>SUM(#REF!)</f>
        <v>#REF!</v>
      </c>
      <c r="F41" s="15">
        <f>H39+1</f>
        <v>46509</v>
      </c>
      <c r="G41" s="12">
        <v>60</v>
      </c>
      <c r="H41" s="16">
        <f>F41+G41-1</f>
        <v>46568</v>
      </c>
      <c r="I41" s="203"/>
      <c r="J41" s="204"/>
    </row>
    <row r="42" spans="1:10" x14ac:dyDescent="0.25">
      <c r="A42" s="10">
        <v>11</v>
      </c>
      <c r="B42" s="177" t="s">
        <v>19</v>
      </c>
      <c r="C42" s="206"/>
      <c r="D42" s="206"/>
      <c r="E42" s="18" t="e">
        <f>SUM(#REF!)</f>
        <v>#REF!</v>
      </c>
      <c r="F42" s="15">
        <f>H41+1</f>
        <v>46569</v>
      </c>
      <c r="G42" s="12">
        <v>45</v>
      </c>
      <c r="H42" s="16">
        <f>F42+G42-1</f>
        <v>46613</v>
      </c>
      <c r="I42" s="203"/>
      <c r="J42" s="204"/>
    </row>
    <row r="43" spans="1:10" ht="16.5" customHeight="1" x14ac:dyDescent="0.25">
      <c r="A43" s="10">
        <v>12</v>
      </c>
      <c r="B43" s="145" t="s">
        <v>6</v>
      </c>
      <c r="C43" s="145"/>
      <c r="D43" s="17" t="s">
        <v>1</v>
      </c>
      <c r="E43" s="18" t="e">
        <f>SUM(#REF!)</f>
        <v>#REF!</v>
      </c>
      <c r="F43" s="15">
        <f>H42+1</f>
        <v>46614</v>
      </c>
      <c r="G43" s="12">
        <v>60</v>
      </c>
      <c r="H43" s="16">
        <f>F43+G43-1</f>
        <v>46673</v>
      </c>
      <c r="I43" s="207" t="s">
        <v>92</v>
      </c>
      <c r="J43" s="208"/>
    </row>
    <row r="44" spans="1:10" ht="16.5" customHeight="1" thickBot="1" x14ac:dyDescent="0.3">
      <c r="A44" s="10">
        <v>13</v>
      </c>
      <c r="B44" s="164" t="s">
        <v>20</v>
      </c>
      <c r="C44" s="221"/>
      <c r="D44" s="221"/>
      <c r="E44" s="18"/>
      <c r="F44" s="222">
        <f>F11+F17+F38+F40+G41+G42+G43</f>
        <v>1438</v>
      </c>
      <c r="G44" s="223"/>
      <c r="H44" s="224"/>
      <c r="I44" s="225"/>
      <c r="J44" s="226"/>
    </row>
    <row r="45" spans="1:10" ht="16.5" customHeight="1" thickTop="1" x14ac:dyDescent="0.25">
      <c r="A45" s="22">
        <v>14</v>
      </c>
      <c r="B45" s="209" t="s">
        <v>61</v>
      </c>
      <c r="C45" s="210"/>
      <c r="D45" s="211"/>
      <c r="E45" s="1"/>
      <c r="F45" s="24">
        <f>H43</f>
        <v>46673</v>
      </c>
      <c r="G45" s="26">
        <v>30</v>
      </c>
      <c r="H45" s="28">
        <f>G45+F45-1</f>
        <v>46702</v>
      </c>
      <c r="I45" s="227" t="s">
        <v>66</v>
      </c>
      <c r="J45" s="228"/>
    </row>
    <row r="46" spans="1:10" ht="16.5" customHeight="1" x14ac:dyDescent="0.25">
      <c r="A46" s="22">
        <v>15</v>
      </c>
      <c r="B46" s="209" t="s">
        <v>62</v>
      </c>
      <c r="C46" s="210"/>
      <c r="D46" s="211"/>
      <c r="E46" s="1"/>
      <c r="F46" s="24">
        <f>H43</f>
        <v>46673</v>
      </c>
      <c r="G46" s="26">
        <v>90</v>
      </c>
      <c r="H46" s="29">
        <f>G46+F46-1</f>
        <v>46762</v>
      </c>
      <c r="I46" s="227" t="s">
        <v>67</v>
      </c>
      <c r="J46" s="228"/>
    </row>
    <row r="47" spans="1:10" ht="33.75" customHeight="1" x14ac:dyDescent="0.25">
      <c r="A47" s="22">
        <v>16</v>
      </c>
      <c r="B47" s="209" t="s">
        <v>63</v>
      </c>
      <c r="C47" s="210"/>
      <c r="D47" s="211"/>
      <c r="E47" s="1"/>
      <c r="F47" s="24">
        <f>H43</f>
        <v>46673</v>
      </c>
      <c r="G47" s="26">
        <v>120</v>
      </c>
      <c r="H47" s="29">
        <f>G47+F47-1</f>
        <v>46792</v>
      </c>
      <c r="I47" s="212" t="s">
        <v>68</v>
      </c>
      <c r="J47" s="213"/>
    </row>
    <row r="48" spans="1:10" ht="16.5" customHeight="1" x14ac:dyDescent="0.25">
      <c r="A48" s="22">
        <v>17</v>
      </c>
      <c r="B48" s="209" t="s">
        <v>64</v>
      </c>
      <c r="C48" s="210"/>
      <c r="D48" s="211"/>
      <c r="E48" s="1"/>
      <c r="F48" s="24">
        <f>H46</f>
        <v>46762</v>
      </c>
      <c r="G48" s="26">
        <v>30</v>
      </c>
      <c r="H48" s="29">
        <f>G48+F48-1</f>
        <v>46791</v>
      </c>
      <c r="I48" s="214" t="s">
        <v>69</v>
      </c>
      <c r="J48" s="215"/>
    </row>
    <row r="49" spans="1:10" ht="16.5" customHeight="1" thickBot="1" x14ac:dyDescent="0.3">
      <c r="A49" s="23">
        <v>18</v>
      </c>
      <c r="B49" s="216" t="s">
        <v>65</v>
      </c>
      <c r="C49" s="217"/>
      <c r="D49" s="218"/>
      <c r="E49" s="1"/>
      <c r="F49" s="25">
        <f>H46</f>
        <v>46762</v>
      </c>
      <c r="G49" s="27">
        <v>540</v>
      </c>
      <c r="H49" s="30">
        <f>G49+F49-1</f>
        <v>47301</v>
      </c>
      <c r="I49" s="219" t="s">
        <v>70</v>
      </c>
      <c r="J49" s="220"/>
    </row>
    <row r="50" spans="1:10" ht="16.5" customHeight="1" x14ac:dyDescent="0.25">
      <c r="A50" s="138"/>
      <c r="B50" s="229"/>
      <c r="C50" s="229"/>
      <c r="D50" s="229"/>
      <c r="E50" s="229"/>
      <c r="F50" s="229"/>
      <c r="G50" s="229"/>
      <c r="H50" s="229"/>
      <c r="I50" s="229"/>
      <c r="J50" s="139"/>
    </row>
    <row r="51" spans="1:10" ht="16.5" customHeight="1" x14ac:dyDescent="0.25">
      <c r="A51" s="230"/>
      <c r="B51" s="230"/>
      <c r="C51" s="140"/>
      <c r="D51" s="231" t="s">
        <v>36</v>
      </c>
      <c r="E51" s="11"/>
      <c r="F51" s="233" t="s">
        <v>60</v>
      </c>
      <c r="G51" s="234"/>
      <c r="H51" s="235"/>
      <c r="I51" s="239"/>
      <c r="J51" s="240"/>
    </row>
    <row r="52" spans="1:10" ht="16.5" customHeight="1" x14ac:dyDescent="0.25">
      <c r="A52" s="230"/>
      <c r="B52" s="230"/>
      <c r="C52" s="140"/>
      <c r="D52" s="232"/>
      <c r="E52" s="11"/>
      <c r="F52" s="236"/>
      <c r="G52" s="237"/>
      <c r="H52" s="238"/>
      <c r="I52" s="239"/>
      <c r="J52" s="240"/>
    </row>
    <row r="53" spans="1:10" ht="16.5" customHeight="1" x14ac:dyDescent="0.25">
      <c r="A53" s="145"/>
      <c r="B53" s="145"/>
      <c r="C53" s="145"/>
      <c r="D53" s="7" t="s">
        <v>21</v>
      </c>
      <c r="E53" s="11"/>
      <c r="F53" s="243">
        <f>F11</f>
        <v>331</v>
      </c>
      <c r="G53" s="243"/>
      <c r="H53" s="243"/>
      <c r="I53" s="239"/>
      <c r="J53" s="240"/>
    </row>
    <row r="54" spans="1:10" ht="17.25" customHeight="1" x14ac:dyDescent="0.25">
      <c r="A54" s="145"/>
      <c r="B54" s="145"/>
      <c r="C54" s="145"/>
      <c r="D54" s="7" t="s">
        <v>72</v>
      </c>
      <c r="E54" s="11"/>
      <c r="F54" s="243">
        <f>F17</f>
        <v>204</v>
      </c>
      <c r="G54" s="243"/>
      <c r="H54" s="243"/>
      <c r="I54" s="239"/>
      <c r="J54" s="240"/>
    </row>
    <row r="55" spans="1:10" x14ac:dyDescent="0.25">
      <c r="A55" s="145"/>
      <c r="B55" s="145"/>
      <c r="C55" s="145"/>
      <c r="D55" s="7" t="s">
        <v>73</v>
      </c>
      <c r="E55" s="11"/>
      <c r="F55" s="243">
        <f>F38</f>
        <v>498</v>
      </c>
      <c r="G55" s="243"/>
      <c r="H55" s="243"/>
      <c r="I55" s="239"/>
      <c r="J55" s="240"/>
    </row>
    <row r="56" spans="1:10" x14ac:dyDescent="0.25">
      <c r="A56" s="145"/>
      <c r="B56" s="145"/>
      <c r="C56" s="145"/>
      <c r="D56" s="7" t="s">
        <v>74</v>
      </c>
      <c r="E56" s="11"/>
      <c r="F56" s="243">
        <f>F40</f>
        <v>240</v>
      </c>
      <c r="G56" s="243"/>
      <c r="H56" s="243"/>
      <c r="I56" s="239"/>
      <c r="J56" s="240"/>
    </row>
    <row r="57" spans="1:10" x14ac:dyDescent="0.25">
      <c r="A57" s="145"/>
      <c r="B57" s="145"/>
      <c r="C57" s="145"/>
      <c r="D57" s="7" t="s">
        <v>23</v>
      </c>
      <c r="E57" s="11"/>
      <c r="F57" s="243">
        <f>G41</f>
        <v>60</v>
      </c>
      <c r="G57" s="243"/>
      <c r="H57" s="243"/>
      <c r="I57" s="239"/>
      <c r="J57" s="240"/>
    </row>
    <row r="58" spans="1:10" x14ac:dyDescent="0.25">
      <c r="A58" s="145"/>
      <c r="B58" s="145"/>
      <c r="C58" s="145"/>
      <c r="D58" s="7" t="s">
        <v>24</v>
      </c>
      <c r="E58" s="11"/>
      <c r="F58" s="243">
        <f>G42+G43</f>
        <v>105</v>
      </c>
      <c r="G58" s="243"/>
      <c r="H58" s="243"/>
      <c r="I58" s="239"/>
      <c r="J58" s="240"/>
    </row>
    <row r="59" spans="1:10" x14ac:dyDescent="0.25">
      <c r="A59" s="145"/>
      <c r="B59" s="145"/>
      <c r="C59" s="164"/>
      <c r="D59" s="221"/>
      <c r="E59" s="221"/>
      <c r="F59" s="221"/>
      <c r="G59" s="221"/>
      <c r="H59" s="221"/>
      <c r="I59" s="241"/>
      <c r="J59" s="242"/>
    </row>
    <row r="60" spans="1:10" x14ac:dyDescent="0.25">
      <c r="A60" s="145" t="s">
        <v>25</v>
      </c>
      <c r="B60" s="145"/>
      <c r="C60" s="145"/>
      <c r="D60" s="14" t="s">
        <v>28</v>
      </c>
      <c r="E60" s="11"/>
      <c r="F60" s="243" t="s">
        <v>33</v>
      </c>
      <c r="G60" s="243"/>
      <c r="H60" s="245" t="s">
        <v>34</v>
      </c>
      <c r="I60" s="246"/>
      <c r="J60" s="13" t="s">
        <v>29</v>
      </c>
    </row>
    <row r="61" spans="1:10" x14ac:dyDescent="0.25">
      <c r="A61" s="145" t="s">
        <v>26</v>
      </c>
      <c r="B61" s="145"/>
      <c r="C61" s="10" t="s">
        <v>27</v>
      </c>
      <c r="D61" s="136"/>
      <c r="E61" s="11"/>
      <c r="F61" s="243"/>
      <c r="G61" s="243"/>
      <c r="H61" s="247"/>
      <c r="I61" s="248"/>
      <c r="J61" s="183"/>
    </row>
    <row r="62" spans="1:10" x14ac:dyDescent="0.25">
      <c r="A62" s="145"/>
      <c r="B62" s="145"/>
      <c r="C62" s="145"/>
      <c r="D62" s="138"/>
      <c r="E62" s="11"/>
      <c r="F62" s="243"/>
      <c r="G62" s="243"/>
      <c r="H62" s="249"/>
      <c r="I62" s="250"/>
      <c r="J62" s="183"/>
    </row>
    <row r="63" spans="1:10" x14ac:dyDescent="0.25">
      <c r="A63" s="145"/>
      <c r="B63" s="145"/>
      <c r="C63" s="145"/>
      <c r="D63" s="138"/>
      <c r="E63" s="11"/>
      <c r="F63" s="243"/>
      <c r="G63" s="243"/>
      <c r="H63" s="249"/>
      <c r="I63" s="250"/>
      <c r="J63" s="183"/>
    </row>
    <row r="64" spans="1:10" x14ac:dyDescent="0.25">
      <c r="A64" s="145"/>
      <c r="B64" s="145"/>
      <c r="C64" s="145"/>
      <c r="D64" s="138"/>
      <c r="E64" s="11"/>
      <c r="F64" s="243"/>
      <c r="G64" s="243"/>
      <c r="H64" s="249"/>
      <c r="I64" s="250"/>
      <c r="J64" s="183"/>
    </row>
    <row r="65" spans="1:10" ht="24.75" customHeight="1" x14ac:dyDescent="0.25">
      <c r="A65" s="145"/>
      <c r="B65" s="145"/>
      <c r="C65" s="145"/>
      <c r="D65" s="138"/>
      <c r="E65" s="11"/>
      <c r="F65" s="243"/>
      <c r="G65" s="243"/>
      <c r="H65" s="249"/>
      <c r="I65" s="250"/>
      <c r="J65" s="183"/>
    </row>
    <row r="66" spans="1:10" ht="31.5" customHeight="1" x14ac:dyDescent="0.25">
      <c r="A66" s="145"/>
      <c r="B66" s="145"/>
      <c r="C66" s="145"/>
      <c r="D66" s="140"/>
      <c r="E66" s="11"/>
      <c r="F66" s="243"/>
      <c r="G66" s="243"/>
      <c r="H66" s="251"/>
      <c r="I66" s="252"/>
      <c r="J66" s="183"/>
    </row>
    <row r="68" spans="1:10" x14ac:dyDescent="0.25">
      <c r="C68" s="244" t="s">
        <v>99</v>
      </c>
      <c r="D68" s="244"/>
      <c r="E68" s="244"/>
      <c r="F68" s="244"/>
      <c r="G68" s="244"/>
      <c r="H68" s="244"/>
      <c r="I68" s="244"/>
    </row>
    <row r="69" spans="1:10" x14ac:dyDescent="0.25">
      <c r="C69" s="244" t="s">
        <v>100</v>
      </c>
      <c r="D69" s="244"/>
      <c r="E69" s="244"/>
      <c r="F69" s="244"/>
      <c r="G69" s="244"/>
      <c r="H69" s="244"/>
      <c r="I69" s="244"/>
    </row>
    <row r="70" spans="1:10" x14ac:dyDescent="0.25">
      <c r="C70" s="9" t="s">
        <v>101</v>
      </c>
    </row>
    <row r="71" spans="1:10" x14ac:dyDescent="0.25">
      <c r="C71" s="9"/>
    </row>
    <row r="72" spans="1:10" x14ac:dyDescent="0.25">
      <c r="C72" s="9"/>
    </row>
    <row r="73" spans="1:10" x14ac:dyDescent="0.25">
      <c r="C73" s="9"/>
    </row>
    <row r="74" spans="1:10" x14ac:dyDescent="0.25">
      <c r="C74" s="9"/>
    </row>
    <row r="86" spans="8:10" x14ac:dyDescent="0.25">
      <c r="H86" s="2">
        <v>130</v>
      </c>
    </row>
    <row r="87" spans="8:10" x14ac:dyDescent="0.25">
      <c r="H87" s="2">
        <v>70</v>
      </c>
    </row>
    <row r="88" spans="8:10" x14ac:dyDescent="0.25">
      <c r="H88" s="2">
        <v>295</v>
      </c>
    </row>
    <row r="89" spans="8:10" x14ac:dyDescent="0.25">
      <c r="H89" s="2">
        <v>70</v>
      </c>
    </row>
    <row r="90" spans="8:10" x14ac:dyDescent="0.25">
      <c r="H90" s="2">
        <v>295</v>
      </c>
    </row>
    <row r="91" spans="8:10" x14ac:dyDescent="0.25">
      <c r="H91" s="2">
        <v>70</v>
      </c>
    </row>
    <row r="92" spans="8:10" x14ac:dyDescent="0.25">
      <c r="H92" s="2">
        <v>295</v>
      </c>
    </row>
    <row r="93" spans="8:10" x14ac:dyDescent="0.25">
      <c r="H93" s="2">
        <v>70</v>
      </c>
    </row>
    <row r="94" spans="8:10" x14ac:dyDescent="0.25">
      <c r="H94" s="2">
        <f>SUM(H86:H93)</f>
        <v>1295</v>
      </c>
      <c r="I94" s="8">
        <v>1575</v>
      </c>
      <c r="J94" s="6">
        <f>I94-H94</f>
        <v>280</v>
      </c>
    </row>
    <row r="95" spans="8:10" x14ac:dyDescent="0.25">
      <c r="H95" s="2"/>
    </row>
    <row r="96" spans="8:10" x14ac:dyDescent="0.25">
      <c r="H96" s="2"/>
    </row>
    <row r="97" spans="8:8" x14ac:dyDescent="0.25">
      <c r="H97" s="2"/>
    </row>
  </sheetData>
  <mergeCells count="109">
    <mergeCell ref="J61:J66"/>
    <mergeCell ref="A62:B66"/>
    <mergeCell ref="C62:C66"/>
    <mergeCell ref="C68:I68"/>
    <mergeCell ref="C69:I69"/>
    <mergeCell ref="F58:H58"/>
    <mergeCell ref="D59:H59"/>
    <mergeCell ref="A60:C60"/>
    <mergeCell ref="F60:G60"/>
    <mergeCell ref="H60:I60"/>
    <mergeCell ref="A61:B61"/>
    <mergeCell ref="D61:D66"/>
    <mergeCell ref="F61:G66"/>
    <mergeCell ref="H61:I66"/>
    <mergeCell ref="A50:J50"/>
    <mergeCell ref="A51:C59"/>
    <mergeCell ref="D51:D52"/>
    <mergeCell ref="F51:H52"/>
    <mergeCell ref="I51:J59"/>
    <mergeCell ref="F53:H53"/>
    <mergeCell ref="F54:H54"/>
    <mergeCell ref="F55:H55"/>
    <mergeCell ref="F56:H56"/>
    <mergeCell ref="F57:H57"/>
    <mergeCell ref="B47:D47"/>
    <mergeCell ref="I47:J47"/>
    <mergeCell ref="B48:D48"/>
    <mergeCell ref="I48:J48"/>
    <mergeCell ref="B49:D49"/>
    <mergeCell ref="I49:J49"/>
    <mergeCell ref="B44:D44"/>
    <mergeCell ref="F44:H44"/>
    <mergeCell ref="I44:J44"/>
    <mergeCell ref="B45:D45"/>
    <mergeCell ref="I45:J45"/>
    <mergeCell ref="B46:D46"/>
    <mergeCell ref="I46:J46"/>
    <mergeCell ref="B41:C41"/>
    <mergeCell ref="I41:J41"/>
    <mergeCell ref="B42:D42"/>
    <mergeCell ref="I42:J42"/>
    <mergeCell ref="B43:C43"/>
    <mergeCell ref="I43:J43"/>
    <mergeCell ref="I35:J35"/>
    <mergeCell ref="I36:J36"/>
    <mergeCell ref="I37:J37"/>
    <mergeCell ref="F38:H38"/>
    <mergeCell ref="I38:J38"/>
    <mergeCell ref="A39:A40"/>
    <mergeCell ref="B39:C40"/>
    <mergeCell ref="I39:J39"/>
    <mergeCell ref="F40:H40"/>
    <mergeCell ref="I40:J40"/>
    <mergeCell ref="I29:J29"/>
    <mergeCell ref="I30:J30"/>
    <mergeCell ref="I31:J31"/>
    <mergeCell ref="I32:J32"/>
    <mergeCell ref="I33:J33"/>
    <mergeCell ref="I34:J34"/>
    <mergeCell ref="A21:A38"/>
    <mergeCell ref="B21:C38"/>
    <mergeCell ref="I21:J21"/>
    <mergeCell ref="I22:J22"/>
    <mergeCell ref="I23:J23"/>
    <mergeCell ref="I24:J24"/>
    <mergeCell ref="I25:J25"/>
    <mergeCell ref="I26:J26"/>
    <mergeCell ref="I27:J27"/>
    <mergeCell ref="I28:J28"/>
    <mergeCell ref="A18:A19"/>
    <mergeCell ref="B18:C19"/>
    <mergeCell ref="I18:J18"/>
    <mergeCell ref="I19:J19"/>
    <mergeCell ref="B20:C20"/>
    <mergeCell ref="I20:J20"/>
    <mergeCell ref="A12:A17"/>
    <mergeCell ref="B12:C17"/>
    <mergeCell ref="E12:E16"/>
    <mergeCell ref="I12:J12"/>
    <mergeCell ref="K12:K16"/>
    <mergeCell ref="I13:J13"/>
    <mergeCell ref="I14:J14"/>
    <mergeCell ref="I15:J15"/>
    <mergeCell ref="I16:J16"/>
    <mergeCell ref="F17:H17"/>
    <mergeCell ref="A8:A11"/>
    <mergeCell ref="B8:C11"/>
    <mergeCell ref="I8:J8"/>
    <mergeCell ref="E9:E10"/>
    <mergeCell ref="I9:J9"/>
    <mergeCell ref="I10:J10"/>
    <mergeCell ref="F11:H11"/>
    <mergeCell ref="I11:J11"/>
    <mergeCell ref="I17:J17"/>
    <mergeCell ref="B5:D5"/>
    <mergeCell ref="E5:E6"/>
    <mergeCell ref="I5:J5"/>
    <mergeCell ref="B6:D6"/>
    <mergeCell ref="I6:J6"/>
    <mergeCell ref="B7:D7"/>
    <mergeCell ref="E7:E8"/>
    <mergeCell ref="I7:J7"/>
    <mergeCell ref="A1:H1"/>
    <mergeCell ref="I1:J1"/>
    <mergeCell ref="A2:J2"/>
    <mergeCell ref="A3:A4"/>
    <mergeCell ref="B3:D4"/>
    <mergeCell ref="F3:H3"/>
    <mergeCell ref="I3:J4"/>
  </mergeCells>
  <phoneticPr fontId="1" type="noConversion"/>
  <printOptions horizontalCentered="1"/>
  <pageMargins left="0.19685039370078741" right="0.19685039370078741" top="0.39370078740157483" bottom="0.35433070866141736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55765-4B95-4E31-AFF6-800783BC2B66}">
  <sheetPr>
    <pageSetUpPr fitToPage="1"/>
  </sheetPr>
  <dimension ref="A1:J176"/>
  <sheetViews>
    <sheetView tabSelected="1" topLeftCell="A125" zoomScale="130" zoomScaleNormal="130" zoomScaleSheetLayoutView="75" workbookViewId="0">
      <selection activeCell="G132" sqref="G132"/>
    </sheetView>
  </sheetViews>
  <sheetFormatPr defaultRowHeight="16.5" x14ac:dyDescent="0.25"/>
  <cols>
    <col min="1" max="1" width="5" style="2" bestFit="1" customWidth="1"/>
    <col min="2" max="3" width="4.875" style="2" customWidth="1"/>
    <col min="4" max="4" width="25.25" style="61" customWidth="1"/>
    <col min="5" max="5" width="20.375" style="73" bestFit="1" customWidth="1"/>
    <col min="6" max="6" width="9.5" style="4" bestFit="1" customWidth="1"/>
    <col min="7" max="7" width="20.25" style="73" bestFit="1" customWidth="1"/>
    <col min="8" max="8" width="22.375" style="129" customWidth="1"/>
    <col min="9" max="9" width="18.375" style="1" customWidth="1"/>
    <col min="10" max="10" width="19.125" style="1" bestFit="1" customWidth="1"/>
    <col min="11" max="16384" width="9" style="1"/>
  </cols>
  <sheetData>
    <row r="1" spans="1:9" ht="20.100000000000001" customHeight="1" x14ac:dyDescent="0.25">
      <c r="A1" s="162" t="s">
        <v>78</v>
      </c>
      <c r="B1" s="162"/>
      <c r="C1" s="162"/>
      <c r="D1" s="162"/>
      <c r="E1" s="162"/>
      <c r="F1" s="162"/>
      <c r="G1" s="162"/>
      <c r="H1" s="104" t="s">
        <v>311</v>
      </c>
    </row>
    <row r="2" spans="1:9" ht="20.100000000000001" customHeight="1" thickBot="1" x14ac:dyDescent="0.3">
      <c r="A2" s="162"/>
      <c r="B2" s="162"/>
      <c r="C2" s="162"/>
      <c r="D2" s="162"/>
      <c r="E2" s="162"/>
      <c r="F2" s="162"/>
      <c r="G2" s="162"/>
      <c r="H2" s="162"/>
    </row>
    <row r="3" spans="1:9" ht="20.100000000000001" customHeight="1" thickTop="1" x14ac:dyDescent="0.25">
      <c r="A3" s="163" t="s">
        <v>10</v>
      </c>
      <c r="B3" s="145" t="s">
        <v>30</v>
      </c>
      <c r="C3" s="145"/>
      <c r="D3" s="164"/>
      <c r="E3" s="165" t="s">
        <v>91</v>
      </c>
      <c r="F3" s="166"/>
      <c r="G3" s="167"/>
      <c r="H3" s="168" t="s">
        <v>4</v>
      </c>
    </row>
    <row r="4" spans="1:9" ht="20.100000000000001" customHeight="1" x14ac:dyDescent="0.25">
      <c r="A4" s="163"/>
      <c r="B4" s="145"/>
      <c r="C4" s="145"/>
      <c r="D4" s="164"/>
      <c r="E4" s="62" t="s">
        <v>2</v>
      </c>
      <c r="F4" s="12" t="s">
        <v>5</v>
      </c>
      <c r="G4" s="74" t="s">
        <v>3</v>
      </c>
      <c r="H4" s="168"/>
    </row>
    <row r="5" spans="1:9" ht="20.100000000000001" customHeight="1" x14ac:dyDescent="0.25">
      <c r="A5" s="10">
        <v>1</v>
      </c>
      <c r="B5" s="17" t="s">
        <v>94</v>
      </c>
      <c r="C5" s="37"/>
      <c r="D5" s="54"/>
      <c r="E5" s="62">
        <v>45128</v>
      </c>
      <c r="F5" s="12">
        <v>13</v>
      </c>
      <c r="G5" s="75">
        <f t="shared" ref="G5:G10" si="0">E5+F5-1</f>
        <v>45140</v>
      </c>
      <c r="H5" s="134" t="s">
        <v>79</v>
      </c>
      <c r="I5" s="32"/>
    </row>
    <row r="6" spans="1:9" ht="20.100000000000001" customHeight="1" x14ac:dyDescent="0.25">
      <c r="A6" s="10">
        <f>A5+1</f>
        <v>2</v>
      </c>
      <c r="B6" s="17" t="s">
        <v>8</v>
      </c>
      <c r="C6" s="37"/>
      <c r="D6" s="54"/>
      <c r="E6" s="62">
        <f>G5+1</f>
        <v>45141</v>
      </c>
      <c r="F6" s="12">
        <v>150</v>
      </c>
      <c r="G6" s="75">
        <f t="shared" si="0"/>
        <v>45290</v>
      </c>
      <c r="H6" s="105"/>
    </row>
    <row r="7" spans="1:9" ht="20.100000000000001" customHeight="1" x14ac:dyDescent="0.25">
      <c r="A7" s="10">
        <f>A6+1</f>
        <v>3</v>
      </c>
      <c r="B7" s="17" t="s">
        <v>12</v>
      </c>
      <c r="C7" s="37"/>
      <c r="D7" s="54"/>
      <c r="E7" s="62">
        <v>45292</v>
      </c>
      <c r="F7" s="12">
        <v>60</v>
      </c>
      <c r="G7" s="75">
        <f t="shared" si="0"/>
        <v>45351</v>
      </c>
      <c r="H7" s="106" t="s">
        <v>95</v>
      </c>
    </row>
    <row r="8" spans="1:9" ht="20.100000000000001" customHeight="1" x14ac:dyDescent="0.25">
      <c r="A8" s="145">
        <f>A7+1</f>
        <v>4</v>
      </c>
      <c r="B8" s="161" t="s">
        <v>11</v>
      </c>
      <c r="C8" s="161"/>
      <c r="D8" s="55" t="s">
        <v>13</v>
      </c>
      <c r="E8" s="62">
        <v>45444</v>
      </c>
      <c r="F8" s="12">
        <v>90</v>
      </c>
      <c r="G8" s="75">
        <f t="shared" si="0"/>
        <v>45533</v>
      </c>
      <c r="H8" s="133" t="s">
        <v>102</v>
      </c>
    </row>
    <row r="9" spans="1:9" ht="20.100000000000001" customHeight="1" x14ac:dyDescent="0.25">
      <c r="A9" s="145"/>
      <c r="B9" s="161"/>
      <c r="C9" s="161"/>
      <c r="D9" s="55" t="s">
        <v>77</v>
      </c>
      <c r="E9" s="63">
        <f>G8+1</f>
        <v>45534</v>
      </c>
      <c r="F9" s="20">
        <v>30</v>
      </c>
      <c r="G9" s="76">
        <f t="shared" si="0"/>
        <v>45563</v>
      </c>
      <c r="H9" s="107"/>
    </row>
    <row r="10" spans="1:9" ht="20.100000000000001" customHeight="1" x14ac:dyDescent="0.25">
      <c r="A10" s="145"/>
      <c r="B10" s="161"/>
      <c r="C10" s="161"/>
      <c r="D10" s="55" t="s">
        <v>14</v>
      </c>
      <c r="E10" s="62">
        <f>G9+1</f>
        <v>45564</v>
      </c>
      <c r="F10" s="12">
        <v>211</v>
      </c>
      <c r="G10" s="75">
        <f t="shared" si="0"/>
        <v>45774</v>
      </c>
      <c r="H10" s="132" t="s">
        <v>104</v>
      </c>
      <c r="I10" s="35" t="s">
        <v>103</v>
      </c>
    </row>
    <row r="11" spans="1:9" ht="20.100000000000001" customHeight="1" x14ac:dyDescent="0.25">
      <c r="A11" s="145"/>
      <c r="B11" s="161"/>
      <c r="C11" s="161"/>
      <c r="D11" s="53" t="s">
        <v>15</v>
      </c>
      <c r="E11" s="84"/>
      <c r="F11" s="36">
        <f>SUM(F8:F10)</f>
        <v>331</v>
      </c>
      <c r="G11" s="85"/>
      <c r="H11" s="105"/>
    </row>
    <row r="12" spans="1:9" ht="20.100000000000001" customHeight="1" x14ac:dyDescent="0.25">
      <c r="A12" s="10">
        <f>A8+1</f>
        <v>5</v>
      </c>
      <c r="B12" s="157" t="s">
        <v>108</v>
      </c>
      <c r="C12" s="158"/>
      <c r="D12" s="48" t="s">
        <v>109</v>
      </c>
      <c r="E12" s="64">
        <f>G10+10</f>
        <v>45784</v>
      </c>
      <c r="F12" s="39">
        <v>6</v>
      </c>
      <c r="G12" s="77">
        <f t="shared" ref="G12:G22" si="1">E12+F12-1</f>
        <v>45789</v>
      </c>
      <c r="H12" s="107" t="s">
        <v>110</v>
      </c>
      <c r="I12" s="148" t="s">
        <v>105</v>
      </c>
    </row>
    <row r="13" spans="1:9" s="38" customFormat="1" ht="20.100000000000001" customHeight="1" x14ac:dyDescent="0.25">
      <c r="A13" s="10">
        <f t="shared" ref="A13:A39" si="2">A12+1</f>
        <v>6</v>
      </c>
      <c r="B13" s="159"/>
      <c r="C13" s="160"/>
      <c r="D13" s="48" t="s">
        <v>111</v>
      </c>
      <c r="E13" s="64">
        <f t="shared" ref="E13:E19" si="3">G12+1</f>
        <v>45790</v>
      </c>
      <c r="F13" s="39">
        <v>1</v>
      </c>
      <c r="G13" s="77">
        <f>E13+F13</f>
        <v>45791</v>
      </c>
      <c r="H13" s="107" t="s">
        <v>112</v>
      </c>
      <c r="I13" s="148"/>
    </row>
    <row r="14" spans="1:9" ht="20.100000000000001" customHeight="1" x14ac:dyDescent="0.25">
      <c r="A14" s="10">
        <f t="shared" si="2"/>
        <v>7</v>
      </c>
      <c r="B14" s="159"/>
      <c r="C14" s="160"/>
      <c r="D14" s="48" t="s">
        <v>113</v>
      </c>
      <c r="E14" s="64">
        <f t="shared" si="3"/>
        <v>45792</v>
      </c>
      <c r="F14" s="39">
        <v>9</v>
      </c>
      <c r="G14" s="77">
        <f>E14+F14</f>
        <v>45801</v>
      </c>
      <c r="H14" s="107" t="s">
        <v>114</v>
      </c>
      <c r="I14" s="148"/>
    </row>
    <row r="15" spans="1:9" s="38" customFormat="1" ht="20.100000000000001" customHeight="1" x14ac:dyDescent="0.25">
      <c r="A15" s="10">
        <f t="shared" si="2"/>
        <v>8</v>
      </c>
      <c r="B15" s="159"/>
      <c r="C15" s="160"/>
      <c r="D15" s="48" t="s">
        <v>107</v>
      </c>
      <c r="E15" s="64">
        <f t="shared" si="3"/>
        <v>45802</v>
      </c>
      <c r="F15" s="39">
        <v>4</v>
      </c>
      <c r="G15" s="77">
        <f t="shared" si="1"/>
        <v>45805</v>
      </c>
      <c r="H15" s="107" t="s">
        <v>115</v>
      </c>
      <c r="I15" s="148"/>
    </row>
    <row r="16" spans="1:9" ht="20.100000000000001" customHeight="1" x14ac:dyDescent="0.25">
      <c r="A16" s="10">
        <f t="shared" si="2"/>
        <v>9</v>
      </c>
      <c r="B16" s="159"/>
      <c r="C16" s="160"/>
      <c r="D16" s="48" t="s">
        <v>116</v>
      </c>
      <c r="E16" s="64">
        <f t="shared" si="3"/>
        <v>45806</v>
      </c>
      <c r="F16" s="12">
        <v>1</v>
      </c>
      <c r="G16" s="75">
        <f t="shared" si="1"/>
        <v>45806</v>
      </c>
      <c r="H16" s="105"/>
    </row>
    <row r="17" spans="1:8" ht="20.100000000000001" customHeight="1" x14ac:dyDescent="0.25">
      <c r="A17" s="10">
        <f t="shared" si="2"/>
        <v>10</v>
      </c>
      <c r="B17" s="159"/>
      <c r="C17" s="160"/>
      <c r="D17" s="40" t="s">
        <v>117</v>
      </c>
      <c r="E17" s="64">
        <f t="shared" si="3"/>
        <v>45807</v>
      </c>
      <c r="F17" s="12">
        <v>1</v>
      </c>
      <c r="G17" s="75">
        <f t="shared" si="1"/>
        <v>45807</v>
      </c>
      <c r="H17" s="105"/>
    </row>
    <row r="18" spans="1:8" ht="20.100000000000001" customHeight="1" x14ac:dyDescent="0.25">
      <c r="A18" s="10">
        <f t="shared" si="2"/>
        <v>11</v>
      </c>
      <c r="B18" s="159"/>
      <c r="C18" s="160"/>
      <c r="D18" s="48" t="s">
        <v>118</v>
      </c>
      <c r="E18" s="64">
        <f t="shared" si="3"/>
        <v>45808</v>
      </c>
      <c r="F18" s="39">
        <v>6</v>
      </c>
      <c r="G18" s="77">
        <f t="shared" si="1"/>
        <v>45813</v>
      </c>
      <c r="H18" s="107"/>
    </row>
    <row r="19" spans="1:8" ht="20.100000000000001" customHeight="1" x14ac:dyDescent="0.25">
      <c r="A19" s="10">
        <f t="shared" si="2"/>
        <v>12</v>
      </c>
      <c r="B19" s="159"/>
      <c r="C19" s="160"/>
      <c r="D19" s="40" t="s">
        <v>119</v>
      </c>
      <c r="E19" s="64">
        <f t="shared" si="3"/>
        <v>45814</v>
      </c>
      <c r="F19" s="12">
        <v>1</v>
      </c>
      <c r="G19" s="75">
        <f t="shared" si="1"/>
        <v>45814</v>
      </c>
      <c r="H19" s="105"/>
    </row>
    <row r="20" spans="1:8" ht="28.5" x14ac:dyDescent="0.25">
      <c r="A20" s="10">
        <f t="shared" si="2"/>
        <v>13</v>
      </c>
      <c r="B20" s="159"/>
      <c r="C20" s="160"/>
      <c r="D20" s="40" t="s">
        <v>120</v>
      </c>
      <c r="E20" s="64">
        <f t="shared" ref="E20:E25" si="4">G19+1</f>
        <v>45815</v>
      </c>
      <c r="F20" s="39">
        <v>2</v>
      </c>
      <c r="G20" s="77">
        <f t="shared" si="1"/>
        <v>45816</v>
      </c>
      <c r="H20" s="107" t="s">
        <v>141</v>
      </c>
    </row>
    <row r="21" spans="1:8" ht="20.100000000000001" customHeight="1" x14ac:dyDescent="0.25">
      <c r="A21" s="10">
        <f t="shared" si="2"/>
        <v>14</v>
      </c>
      <c r="B21" s="159"/>
      <c r="C21" s="160"/>
      <c r="D21" s="40" t="s">
        <v>121</v>
      </c>
      <c r="E21" s="64">
        <f t="shared" si="4"/>
        <v>45817</v>
      </c>
      <c r="F21" s="39">
        <v>4</v>
      </c>
      <c r="G21" s="77">
        <f t="shared" si="1"/>
        <v>45820</v>
      </c>
      <c r="H21" s="131" t="s">
        <v>129</v>
      </c>
    </row>
    <row r="22" spans="1:8" ht="20.100000000000001" customHeight="1" x14ac:dyDescent="0.25">
      <c r="A22" s="10">
        <f t="shared" si="2"/>
        <v>15</v>
      </c>
      <c r="B22" s="159"/>
      <c r="C22" s="160"/>
      <c r="D22" s="40" t="s">
        <v>122</v>
      </c>
      <c r="E22" s="64">
        <f t="shared" si="4"/>
        <v>45821</v>
      </c>
      <c r="F22" s="39">
        <v>1</v>
      </c>
      <c r="G22" s="77">
        <f t="shared" si="1"/>
        <v>45821</v>
      </c>
      <c r="H22" s="107" t="s">
        <v>130</v>
      </c>
    </row>
    <row r="23" spans="1:8" ht="20.100000000000001" customHeight="1" x14ac:dyDescent="0.25">
      <c r="A23" s="10">
        <f t="shared" si="2"/>
        <v>16</v>
      </c>
      <c r="B23" s="159"/>
      <c r="C23" s="160"/>
      <c r="D23" s="40" t="s">
        <v>123</v>
      </c>
      <c r="E23" s="64">
        <f t="shared" si="4"/>
        <v>45822</v>
      </c>
      <c r="F23" s="39">
        <v>4</v>
      </c>
      <c r="G23" s="77">
        <f>E23+F23</f>
        <v>45826</v>
      </c>
      <c r="H23" s="107" t="s">
        <v>132</v>
      </c>
    </row>
    <row r="24" spans="1:8" ht="20.100000000000001" customHeight="1" thickBot="1" x14ac:dyDescent="0.3">
      <c r="A24" s="10">
        <f t="shared" si="2"/>
        <v>17</v>
      </c>
      <c r="B24" s="159"/>
      <c r="C24" s="160"/>
      <c r="D24" s="49" t="s">
        <v>124</v>
      </c>
      <c r="E24" s="65">
        <f t="shared" si="4"/>
        <v>45827</v>
      </c>
      <c r="F24" s="41">
        <v>1</v>
      </c>
      <c r="G24" s="78">
        <f>E24+F24-1</f>
        <v>45827</v>
      </c>
      <c r="H24" s="108"/>
    </row>
    <row r="25" spans="1:8" ht="20.100000000000001" customHeight="1" x14ac:dyDescent="0.25">
      <c r="A25" s="42">
        <f t="shared" si="2"/>
        <v>18</v>
      </c>
      <c r="B25" s="146" t="s">
        <v>133</v>
      </c>
      <c r="C25" s="147"/>
      <c r="D25" s="56" t="s">
        <v>125</v>
      </c>
      <c r="E25" s="66">
        <f t="shared" si="4"/>
        <v>45828</v>
      </c>
      <c r="F25" s="43">
        <v>3</v>
      </c>
      <c r="G25" s="79">
        <f>E25+F25-1</f>
        <v>45830</v>
      </c>
      <c r="H25" s="135" t="s">
        <v>131</v>
      </c>
    </row>
    <row r="26" spans="1:8" ht="20.100000000000001" customHeight="1" x14ac:dyDescent="0.25">
      <c r="A26" s="44">
        <f t="shared" si="2"/>
        <v>19</v>
      </c>
      <c r="B26" s="138"/>
      <c r="C26" s="139"/>
      <c r="D26" s="40" t="s">
        <v>127</v>
      </c>
      <c r="E26" s="64">
        <f>G25</f>
        <v>45830</v>
      </c>
      <c r="F26" s="39">
        <v>0</v>
      </c>
      <c r="G26" s="77">
        <f>E26+F26</f>
        <v>45830</v>
      </c>
      <c r="H26" s="110" t="s">
        <v>128</v>
      </c>
    </row>
    <row r="27" spans="1:8" ht="20.100000000000001" customHeight="1" x14ac:dyDescent="0.25">
      <c r="A27" s="44">
        <f t="shared" si="2"/>
        <v>20</v>
      </c>
      <c r="B27" s="138"/>
      <c r="C27" s="139"/>
      <c r="D27" s="40" t="s">
        <v>126</v>
      </c>
      <c r="E27" s="64">
        <f>G25+1</f>
        <v>45831</v>
      </c>
      <c r="F27" s="12">
        <v>3</v>
      </c>
      <c r="G27" s="75">
        <f>E27+F27</f>
        <v>45834</v>
      </c>
      <c r="H27" s="111"/>
    </row>
    <row r="28" spans="1:8" ht="20.100000000000001" customHeight="1" x14ac:dyDescent="0.25">
      <c r="A28" s="44">
        <f t="shared" si="2"/>
        <v>21</v>
      </c>
      <c r="B28" s="138"/>
      <c r="C28" s="139"/>
      <c r="D28" s="40" t="s">
        <v>134</v>
      </c>
      <c r="E28" s="64">
        <f>G27</f>
        <v>45834</v>
      </c>
      <c r="F28" s="12">
        <v>0</v>
      </c>
      <c r="G28" s="75">
        <f>E28</f>
        <v>45834</v>
      </c>
      <c r="H28" s="112"/>
    </row>
    <row r="29" spans="1:8" ht="20.100000000000001" customHeight="1" x14ac:dyDescent="0.25">
      <c r="A29" s="44">
        <f t="shared" si="2"/>
        <v>22</v>
      </c>
      <c r="B29" s="138"/>
      <c r="C29" s="139"/>
      <c r="D29" s="40" t="s">
        <v>135</v>
      </c>
      <c r="E29" s="64">
        <f>G28+1</f>
        <v>45835</v>
      </c>
      <c r="F29" s="12">
        <v>2</v>
      </c>
      <c r="G29" s="75">
        <f>E29+F29</f>
        <v>45837</v>
      </c>
      <c r="H29" s="112"/>
    </row>
    <row r="30" spans="1:8" ht="20.100000000000001" customHeight="1" x14ac:dyDescent="0.25">
      <c r="A30" s="44">
        <f t="shared" si="2"/>
        <v>23</v>
      </c>
      <c r="B30" s="138"/>
      <c r="C30" s="139"/>
      <c r="D30" s="40" t="s">
        <v>136</v>
      </c>
      <c r="E30" s="151">
        <f>G29+1</f>
        <v>45838</v>
      </c>
      <c r="F30" s="153">
        <v>2</v>
      </c>
      <c r="G30" s="155">
        <f>E30+F30</f>
        <v>45840</v>
      </c>
      <c r="H30" s="112"/>
    </row>
    <row r="31" spans="1:8" ht="20.100000000000001" customHeight="1" x14ac:dyDescent="0.25">
      <c r="A31" s="44">
        <f t="shared" si="2"/>
        <v>24</v>
      </c>
      <c r="B31" s="138"/>
      <c r="C31" s="139"/>
      <c r="D31" s="40" t="s">
        <v>137</v>
      </c>
      <c r="E31" s="152"/>
      <c r="F31" s="154"/>
      <c r="G31" s="156"/>
      <c r="H31" s="112"/>
    </row>
    <row r="32" spans="1:8" ht="33" x14ac:dyDescent="0.25">
      <c r="A32" s="44">
        <f t="shared" si="2"/>
        <v>25</v>
      </c>
      <c r="B32" s="138"/>
      <c r="C32" s="139"/>
      <c r="D32" s="40" t="s">
        <v>150</v>
      </c>
      <c r="E32" s="64">
        <f>G30+1</f>
        <v>45841</v>
      </c>
      <c r="F32" s="12">
        <v>11</v>
      </c>
      <c r="G32" s="75">
        <f>E32+F32</f>
        <v>45852</v>
      </c>
      <c r="H32" s="113" t="s">
        <v>147</v>
      </c>
    </row>
    <row r="33" spans="1:8" ht="20.100000000000001" customHeight="1" thickBot="1" x14ac:dyDescent="0.3">
      <c r="A33" s="45">
        <f t="shared" si="2"/>
        <v>26</v>
      </c>
      <c r="B33" s="149"/>
      <c r="C33" s="150"/>
      <c r="D33" s="57" t="s">
        <v>143</v>
      </c>
      <c r="E33" s="68">
        <f>G32+1</f>
        <v>45853</v>
      </c>
      <c r="F33" s="46">
        <v>1</v>
      </c>
      <c r="G33" s="80">
        <f>E33</f>
        <v>45853</v>
      </c>
      <c r="H33" s="114" t="s">
        <v>145</v>
      </c>
    </row>
    <row r="34" spans="1:8" ht="20.100000000000001" customHeight="1" x14ac:dyDescent="0.25">
      <c r="A34" s="42">
        <f t="shared" si="2"/>
        <v>27</v>
      </c>
      <c r="B34" s="144" t="s">
        <v>138</v>
      </c>
      <c r="C34" s="144"/>
      <c r="D34" s="58" t="s">
        <v>146</v>
      </c>
      <c r="E34" s="66">
        <f>G33</f>
        <v>45853</v>
      </c>
      <c r="F34" s="43">
        <v>1</v>
      </c>
      <c r="G34" s="79">
        <f>E34+F34</f>
        <v>45854</v>
      </c>
      <c r="H34" s="115" t="s">
        <v>142</v>
      </c>
    </row>
    <row r="35" spans="1:8" ht="20.100000000000001" customHeight="1" x14ac:dyDescent="0.25">
      <c r="A35" s="51">
        <f t="shared" si="2"/>
        <v>28</v>
      </c>
      <c r="B35" s="145"/>
      <c r="C35" s="145"/>
      <c r="D35" s="48" t="s">
        <v>151</v>
      </c>
      <c r="E35" s="64">
        <f>G34</f>
        <v>45854</v>
      </c>
      <c r="F35" s="39">
        <v>3</v>
      </c>
      <c r="G35" s="77">
        <f>E35+F35</f>
        <v>45857</v>
      </c>
      <c r="H35" s="116" t="s">
        <v>144</v>
      </c>
    </row>
    <row r="36" spans="1:8" ht="42.75" x14ac:dyDescent="0.25">
      <c r="A36" s="51">
        <f t="shared" si="2"/>
        <v>29</v>
      </c>
      <c r="B36" s="145"/>
      <c r="C36" s="145"/>
      <c r="D36" s="48" t="s">
        <v>152</v>
      </c>
      <c r="E36" s="64">
        <f>G34+3</f>
        <v>45857</v>
      </c>
      <c r="F36" s="39">
        <v>9</v>
      </c>
      <c r="G36" s="77">
        <f>E36+F36</f>
        <v>45866</v>
      </c>
      <c r="H36" s="117" t="s">
        <v>160</v>
      </c>
    </row>
    <row r="37" spans="1:8" ht="20.100000000000001" customHeight="1" x14ac:dyDescent="0.25">
      <c r="A37" s="51">
        <f t="shared" si="2"/>
        <v>30</v>
      </c>
      <c r="B37" s="145"/>
      <c r="C37" s="145"/>
      <c r="D37" s="48" t="s">
        <v>139</v>
      </c>
      <c r="E37" s="64">
        <f>G36+1</f>
        <v>45867</v>
      </c>
      <c r="F37" s="39">
        <v>1</v>
      </c>
      <c r="G37" s="77">
        <f>E37</f>
        <v>45867</v>
      </c>
      <c r="H37" s="118" t="s">
        <v>148</v>
      </c>
    </row>
    <row r="38" spans="1:8" ht="20.100000000000001" customHeight="1" x14ac:dyDescent="0.25">
      <c r="A38" s="51">
        <f t="shared" si="2"/>
        <v>31</v>
      </c>
      <c r="B38" s="145"/>
      <c r="C38" s="145"/>
      <c r="D38" s="48" t="s">
        <v>125</v>
      </c>
      <c r="E38" s="64">
        <f>G37+1</f>
        <v>45868</v>
      </c>
      <c r="F38" s="39">
        <v>3</v>
      </c>
      <c r="G38" s="75">
        <f>E38+F38-1</f>
        <v>45870</v>
      </c>
      <c r="H38" s="118"/>
    </row>
    <row r="39" spans="1:8" ht="20.100000000000001" customHeight="1" x14ac:dyDescent="0.25">
      <c r="A39" s="51">
        <f t="shared" si="2"/>
        <v>32</v>
      </c>
      <c r="B39" s="145"/>
      <c r="C39" s="145"/>
      <c r="D39" s="40" t="s">
        <v>140</v>
      </c>
      <c r="E39" s="64">
        <f>G38+1</f>
        <v>45871</v>
      </c>
      <c r="F39" s="12">
        <v>5</v>
      </c>
      <c r="G39" s="75">
        <f>E39+F39-1</f>
        <v>45875</v>
      </c>
      <c r="H39" s="118"/>
    </row>
    <row r="40" spans="1:8" ht="33" x14ac:dyDescent="0.25">
      <c r="A40" s="51">
        <f t="shared" ref="A40:A48" si="5">A39+1</f>
        <v>33</v>
      </c>
      <c r="B40" s="145"/>
      <c r="C40" s="145"/>
      <c r="D40" s="40" t="s">
        <v>149</v>
      </c>
      <c r="E40" s="64">
        <f>G39+1</f>
        <v>45876</v>
      </c>
      <c r="F40" s="12">
        <v>3</v>
      </c>
      <c r="G40" s="69">
        <f>E40+F40</f>
        <v>45879</v>
      </c>
      <c r="H40" s="110"/>
    </row>
    <row r="41" spans="1:8" x14ac:dyDescent="0.25">
      <c r="A41" s="51">
        <f t="shared" si="5"/>
        <v>34</v>
      </c>
      <c r="B41" s="145"/>
      <c r="C41" s="145"/>
      <c r="D41" s="40" t="s">
        <v>170</v>
      </c>
      <c r="E41" s="64">
        <f>G40-1</f>
        <v>45878</v>
      </c>
      <c r="F41" s="12">
        <v>0</v>
      </c>
      <c r="G41" s="69">
        <f>E41</f>
        <v>45878</v>
      </c>
      <c r="H41" s="118"/>
    </row>
    <row r="42" spans="1:8" ht="33" x14ac:dyDescent="0.25">
      <c r="A42" s="51">
        <f t="shared" si="5"/>
        <v>35</v>
      </c>
      <c r="B42" s="145"/>
      <c r="C42" s="145"/>
      <c r="D42" s="40" t="s">
        <v>153</v>
      </c>
      <c r="E42" s="69">
        <f>G40+1</f>
        <v>45880</v>
      </c>
      <c r="F42" s="12">
        <v>3</v>
      </c>
      <c r="G42" s="69">
        <f>E42+F42</f>
        <v>45883</v>
      </c>
      <c r="H42" s="118" t="s">
        <v>169</v>
      </c>
    </row>
    <row r="43" spans="1:8" ht="49.5" x14ac:dyDescent="0.25">
      <c r="A43" s="51">
        <f t="shared" si="5"/>
        <v>36</v>
      </c>
      <c r="B43" s="145"/>
      <c r="C43" s="145"/>
      <c r="D43" s="48" t="s">
        <v>187</v>
      </c>
      <c r="E43" s="64">
        <f>G42+1</f>
        <v>45884</v>
      </c>
      <c r="F43" s="39">
        <v>4</v>
      </c>
      <c r="G43" s="64">
        <f>E43+F43</f>
        <v>45888</v>
      </c>
      <c r="H43" s="110" t="s">
        <v>165</v>
      </c>
    </row>
    <row r="44" spans="1:8" ht="20.100000000000001" customHeight="1" x14ac:dyDescent="0.25">
      <c r="A44" s="51">
        <f t="shared" si="5"/>
        <v>37</v>
      </c>
      <c r="B44" s="145"/>
      <c r="C44" s="145"/>
      <c r="D44" s="40" t="s">
        <v>164</v>
      </c>
      <c r="E44" s="69">
        <f>E43+1</f>
        <v>45885</v>
      </c>
      <c r="F44" s="12">
        <v>0</v>
      </c>
      <c r="G44" s="69">
        <f>E44</f>
        <v>45885</v>
      </c>
      <c r="H44" s="110"/>
    </row>
    <row r="45" spans="1:8" ht="20.100000000000001" customHeight="1" x14ac:dyDescent="0.25">
      <c r="A45" s="51">
        <f t="shared" si="5"/>
        <v>38</v>
      </c>
      <c r="B45" s="145"/>
      <c r="C45" s="145"/>
      <c r="D45" s="40" t="s">
        <v>154</v>
      </c>
      <c r="E45" s="69">
        <f>G44</f>
        <v>45885</v>
      </c>
      <c r="F45" s="12">
        <v>6</v>
      </c>
      <c r="G45" s="69">
        <f>E45+F45-1</f>
        <v>45890</v>
      </c>
      <c r="H45" s="110" t="s">
        <v>186</v>
      </c>
    </row>
    <row r="46" spans="1:8" ht="20.100000000000001" customHeight="1" thickBot="1" x14ac:dyDescent="0.3">
      <c r="A46" s="51">
        <f t="shared" si="5"/>
        <v>39</v>
      </c>
      <c r="B46" s="145"/>
      <c r="C46" s="145"/>
      <c r="D46" s="59" t="s">
        <v>155</v>
      </c>
      <c r="E46" s="70">
        <f>E45+2</f>
        <v>45887</v>
      </c>
      <c r="F46" s="47">
        <v>1</v>
      </c>
      <c r="G46" s="70">
        <f>E46</f>
        <v>45887</v>
      </c>
      <c r="H46" s="110" t="s">
        <v>163</v>
      </c>
    </row>
    <row r="47" spans="1:8" ht="20.100000000000001" customHeight="1" x14ac:dyDescent="0.25">
      <c r="A47" s="42">
        <f t="shared" si="5"/>
        <v>40</v>
      </c>
      <c r="B47" s="146" t="s">
        <v>161</v>
      </c>
      <c r="C47" s="147"/>
      <c r="D47" s="58" t="s">
        <v>156</v>
      </c>
      <c r="E47" s="66">
        <f>G46+1</f>
        <v>45888</v>
      </c>
      <c r="F47" s="43">
        <v>0</v>
      </c>
      <c r="G47" s="66">
        <f>E47</f>
        <v>45888</v>
      </c>
      <c r="H47" s="109" t="s">
        <v>168</v>
      </c>
    </row>
    <row r="48" spans="1:8" ht="33" x14ac:dyDescent="0.25">
      <c r="A48" s="44">
        <f t="shared" si="5"/>
        <v>41</v>
      </c>
      <c r="B48" s="138"/>
      <c r="C48" s="139"/>
      <c r="D48" s="48" t="s">
        <v>188</v>
      </c>
      <c r="E48" s="64">
        <f>G47+3</f>
        <v>45891</v>
      </c>
      <c r="F48" s="39">
        <v>6</v>
      </c>
      <c r="G48" s="64">
        <f>E48+F48-1</f>
        <v>45896</v>
      </c>
      <c r="H48" s="110" t="s">
        <v>167</v>
      </c>
    </row>
    <row r="49" spans="1:8" ht="20.100000000000001" customHeight="1" x14ac:dyDescent="0.25">
      <c r="A49" s="44">
        <f t="shared" ref="A49:A54" si="6">A48+1</f>
        <v>42</v>
      </c>
      <c r="B49" s="138"/>
      <c r="C49" s="139"/>
      <c r="D49" s="48" t="s">
        <v>157</v>
      </c>
      <c r="E49" s="64">
        <f>G48+1</f>
        <v>45897</v>
      </c>
      <c r="F49" s="39">
        <v>1</v>
      </c>
      <c r="G49" s="64">
        <f>E49</f>
        <v>45897</v>
      </c>
      <c r="H49" s="110" t="s">
        <v>162</v>
      </c>
    </row>
    <row r="50" spans="1:8" ht="20.100000000000001" customHeight="1" x14ac:dyDescent="0.25">
      <c r="A50" s="44">
        <f t="shared" si="6"/>
        <v>43</v>
      </c>
      <c r="B50" s="138"/>
      <c r="C50" s="139"/>
      <c r="D50" s="48" t="s">
        <v>158</v>
      </c>
      <c r="E50" s="64">
        <f>G49+1</f>
        <v>45898</v>
      </c>
      <c r="F50" s="39">
        <v>4</v>
      </c>
      <c r="G50" s="64">
        <f>E50+F50-1</f>
        <v>45901</v>
      </c>
      <c r="H50" s="130" t="s">
        <v>166</v>
      </c>
    </row>
    <row r="51" spans="1:8" ht="20.100000000000001" customHeight="1" x14ac:dyDescent="0.25">
      <c r="A51" s="44">
        <f t="shared" si="6"/>
        <v>44</v>
      </c>
      <c r="B51" s="138"/>
      <c r="C51" s="139"/>
      <c r="D51" s="49" t="s">
        <v>159</v>
      </c>
      <c r="E51" s="65">
        <f>G50+1</f>
        <v>45902</v>
      </c>
      <c r="F51" s="41">
        <v>3</v>
      </c>
      <c r="G51" s="65">
        <f>E51+F51</f>
        <v>45905</v>
      </c>
      <c r="H51" s="119"/>
    </row>
    <row r="52" spans="1:8" ht="33" x14ac:dyDescent="0.25">
      <c r="A52" s="44">
        <f t="shared" si="6"/>
        <v>45</v>
      </c>
      <c r="B52" s="138"/>
      <c r="C52" s="139"/>
      <c r="D52" s="48" t="s">
        <v>179</v>
      </c>
      <c r="E52" s="64">
        <f>G51</f>
        <v>45905</v>
      </c>
      <c r="F52" s="39">
        <v>2</v>
      </c>
      <c r="G52" s="64">
        <f>E52+F52</f>
        <v>45907</v>
      </c>
      <c r="H52" s="110"/>
    </row>
    <row r="53" spans="1:8" ht="33" x14ac:dyDescent="0.25">
      <c r="A53" s="44">
        <f t="shared" si="6"/>
        <v>46</v>
      </c>
      <c r="B53" s="138"/>
      <c r="C53" s="139"/>
      <c r="D53" s="48" t="s">
        <v>185</v>
      </c>
      <c r="E53" s="64">
        <f>G52</f>
        <v>45907</v>
      </c>
      <c r="F53" s="39">
        <v>4</v>
      </c>
      <c r="G53" s="64">
        <f>E53+F53</f>
        <v>45911</v>
      </c>
      <c r="H53" s="110" t="s">
        <v>184</v>
      </c>
    </row>
    <row r="54" spans="1:8" ht="33" x14ac:dyDescent="0.25">
      <c r="A54" s="44">
        <f t="shared" si="6"/>
        <v>47</v>
      </c>
      <c r="B54" s="138"/>
      <c r="C54" s="139"/>
      <c r="D54" s="49" t="s">
        <v>180</v>
      </c>
      <c r="E54" s="65">
        <f>G53+1</f>
        <v>45912</v>
      </c>
      <c r="F54" s="41">
        <v>5</v>
      </c>
      <c r="G54" s="65">
        <f t="shared" ref="G54:G59" si="7">E54+F54-1</f>
        <v>45916</v>
      </c>
      <c r="H54" s="110" t="s">
        <v>183</v>
      </c>
    </row>
    <row r="55" spans="1:8" ht="17.25" thickBot="1" x14ac:dyDescent="0.3">
      <c r="A55" s="45">
        <f>A54+1</f>
        <v>48</v>
      </c>
      <c r="B55" s="138"/>
      <c r="C55" s="139"/>
      <c r="D55" s="57" t="s">
        <v>172</v>
      </c>
      <c r="E55" s="68">
        <f>G57-3</f>
        <v>45915</v>
      </c>
      <c r="F55" s="46">
        <v>5</v>
      </c>
      <c r="G55" s="68">
        <f t="shared" si="7"/>
        <v>45919</v>
      </c>
      <c r="H55" s="120"/>
    </row>
    <row r="56" spans="1:8" x14ac:dyDescent="0.25">
      <c r="A56" s="42">
        <f>A55+1</f>
        <v>49</v>
      </c>
      <c r="B56" s="145" t="s">
        <v>177</v>
      </c>
      <c r="C56" s="145"/>
      <c r="D56" s="58" t="s">
        <v>174</v>
      </c>
      <c r="E56" s="71">
        <f>G54+1</f>
        <v>45917</v>
      </c>
      <c r="F56" s="43">
        <v>1</v>
      </c>
      <c r="G56" s="66">
        <f t="shared" si="7"/>
        <v>45917</v>
      </c>
      <c r="H56" s="121"/>
    </row>
    <row r="57" spans="1:8" x14ac:dyDescent="0.25">
      <c r="A57" s="44">
        <f>A56+1</f>
        <v>50</v>
      </c>
      <c r="B57" s="145"/>
      <c r="C57" s="145"/>
      <c r="D57" s="60" t="s">
        <v>181</v>
      </c>
      <c r="E57" s="67">
        <f>G56+1</f>
        <v>45918</v>
      </c>
      <c r="F57" s="50">
        <v>1</v>
      </c>
      <c r="G57" s="67">
        <f t="shared" si="7"/>
        <v>45918</v>
      </c>
      <c r="H57" s="110" t="s">
        <v>182</v>
      </c>
    </row>
    <row r="58" spans="1:8" x14ac:dyDescent="0.25">
      <c r="A58" s="44">
        <f t="shared" ref="A58:A137" si="8">A57+1</f>
        <v>51</v>
      </c>
      <c r="B58" s="145"/>
      <c r="C58" s="145"/>
      <c r="D58" s="49" t="s">
        <v>173</v>
      </c>
      <c r="E58" s="65">
        <f>G55</f>
        <v>45919</v>
      </c>
      <c r="F58" s="41">
        <v>1</v>
      </c>
      <c r="G58" s="65">
        <f t="shared" si="7"/>
        <v>45919</v>
      </c>
      <c r="H58" s="110" t="s">
        <v>182</v>
      </c>
    </row>
    <row r="59" spans="1:8" x14ac:dyDescent="0.25">
      <c r="A59" s="44">
        <f t="shared" si="8"/>
        <v>52</v>
      </c>
      <c r="B59" s="145"/>
      <c r="C59" s="145"/>
      <c r="D59" s="48" t="s">
        <v>171</v>
      </c>
      <c r="E59" s="64">
        <f>G58+1</f>
        <v>45920</v>
      </c>
      <c r="F59" s="39">
        <v>1</v>
      </c>
      <c r="G59" s="64">
        <f t="shared" si="7"/>
        <v>45920</v>
      </c>
      <c r="H59" s="110" t="s">
        <v>182</v>
      </c>
    </row>
    <row r="60" spans="1:8" x14ac:dyDescent="0.25">
      <c r="A60" s="44">
        <f t="shared" si="8"/>
        <v>53</v>
      </c>
      <c r="B60" s="145"/>
      <c r="C60" s="145"/>
      <c r="D60" s="48" t="s">
        <v>175</v>
      </c>
      <c r="E60" s="72">
        <f>G58+3</f>
        <v>45922</v>
      </c>
      <c r="F60" s="39">
        <v>7</v>
      </c>
      <c r="G60" s="64">
        <f>E60+F60</f>
        <v>45929</v>
      </c>
      <c r="H60" s="110" t="s">
        <v>178</v>
      </c>
    </row>
    <row r="61" spans="1:8" x14ac:dyDescent="0.25">
      <c r="A61" s="44">
        <f t="shared" si="8"/>
        <v>54</v>
      </c>
      <c r="B61" s="145"/>
      <c r="C61" s="145"/>
      <c r="D61" s="48" t="s">
        <v>176</v>
      </c>
      <c r="E61" s="64">
        <f>G60+1</f>
        <v>45930</v>
      </c>
      <c r="F61" s="39">
        <v>1</v>
      </c>
      <c r="G61" s="64">
        <f>E61+F61-1</f>
        <v>45930</v>
      </c>
      <c r="H61" s="110"/>
    </row>
    <row r="62" spans="1:8" x14ac:dyDescent="0.25">
      <c r="A62" s="44">
        <f t="shared" si="8"/>
        <v>55</v>
      </c>
      <c r="B62" s="145"/>
      <c r="C62" s="145"/>
      <c r="D62" s="48" t="s">
        <v>189</v>
      </c>
      <c r="E62" s="64">
        <f>G61+1</f>
        <v>45931</v>
      </c>
      <c r="F62" s="39">
        <v>3</v>
      </c>
      <c r="G62" s="64">
        <f>E62+F62</f>
        <v>45934</v>
      </c>
      <c r="H62" s="110"/>
    </row>
    <row r="63" spans="1:8" x14ac:dyDescent="0.25">
      <c r="A63" s="44">
        <f t="shared" si="8"/>
        <v>56</v>
      </c>
      <c r="B63" s="145"/>
      <c r="C63" s="145"/>
      <c r="D63" s="48" t="s">
        <v>190</v>
      </c>
      <c r="E63" s="64">
        <f>G62</f>
        <v>45934</v>
      </c>
      <c r="F63" s="39">
        <v>3</v>
      </c>
      <c r="G63" s="64">
        <f>E63+F63-1</f>
        <v>45936</v>
      </c>
      <c r="H63" s="122"/>
    </row>
    <row r="64" spans="1:8" x14ac:dyDescent="0.25">
      <c r="A64" s="44">
        <f t="shared" si="8"/>
        <v>57</v>
      </c>
      <c r="B64" s="145"/>
      <c r="C64" s="145"/>
      <c r="D64" s="48" t="s">
        <v>191</v>
      </c>
      <c r="E64" s="64">
        <f>G63+2</f>
        <v>45938</v>
      </c>
      <c r="F64" s="39">
        <v>4</v>
      </c>
      <c r="G64" s="64">
        <f>E64+F64-1</f>
        <v>45941</v>
      </c>
      <c r="H64" s="110"/>
    </row>
    <row r="65" spans="1:8" x14ac:dyDescent="0.25">
      <c r="A65" s="44">
        <f t="shared" si="8"/>
        <v>58</v>
      </c>
      <c r="B65" s="145"/>
      <c r="C65" s="145"/>
      <c r="D65" s="48" t="s">
        <v>192</v>
      </c>
      <c r="E65" s="64">
        <f>G64+1</f>
        <v>45942</v>
      </c>
      <c r="F65" s="39">
        <v>1</v>
      </c>
      <c r="G65" s="64">
        <f>E65+F65</f>
        <v>45943</v>
      </c>
      <c r="H65" s="110"/>
    </row>
    <row r="66" spans="1:8" x14ac:dyDescent="0.25">
      <c r="A66" s="44">
        <f t="shared" si="8"/>
        <v>59</v>
      </c>
      <c r="B66" s="145"/>
      <c r="C66" s="145"/>
      <c r="D66" s="48" t="s">
        <v>193</v>
      </c>
      <c r="E66" s="64">
        <f>G65+1</f>
        <v>45944</v>
      </c>
      <c r="F66" s="39">
        <v>3</v>
      </c>
      <c r="G66" s="64">
        <f>E66+F66</f>
        <v>45947</v>
      </c>
      <c r="H66" s="123" t="s">
        <v>309</v>
      </c>
    </row>
    <row r="67" spans="1:8" ht="33" x14ac:dyDescent="0.25">
      <c r="A67" s="44">
        <f t="shared" si="8"/>
        <v>60</v>
      </c>
      <c r="B67" s="145"/>
      <c r="C67" s="145"/>
      <c r="D67" s="48" t="s">
        <v>194</v>
      </c>
      <c r="E67" s="64">
        <f>G66+1</f>
        <v>45948</v>
      </c>
      <c r="F67" s="39">
        <v>5</v>
      </c>
      <c r="G67" s="64">
        <f>E67+F67-1</f>
        <v>45952</v>
      </c>
      <c r="H67" s="121" t="s">
        <v>204</v>
      </c>
    </row>
    <row r="68" spans="1:8" x14ac:dyDescent="0.25">
      <c r="A68" s="52">
        <f>A67+1</f>
        <v>61</v>
      </c>
      <c r="B68" s="145"/>
      <c r="C68" s="145"/>
      <c r="D68" s="49" t="s">
        <v>195</v>
      </c>
      <c r="E68" s="65">
        <f>G67-1</f>
        <v>45951</v>
      </c>
      <c r="F68" s="41">
        <v>1</v>
      </c>
      <c r="G68" s="65">
        <f>E68+F68</f>
        <v>45952</v>
      </c>
      <c r="H68" s="124" t="s">
        <v>198</v>
      </c>
    </row>
    <row r="69" spans="1:8" ht="33" x14ac:dyDescent="0.25">
      <c r="A69" s="44">
        <f>A68+1</f>
        <v>62</v>
      </c>
      <c r="B69" s="136" t="s">
        <v>196</v>
      </c>
      <c r="C69" s="137"/>
      <c r="D69" s="48" t="s">
        <v>197</v>
      </c>
      <c r="E69" s="64">
        <f>G68+1</f>
        <v>45953</v>
      </c>
      <c r="F69" s="39">
        <v>8</v>
      </c>
      <c r="G69" s="64">
        <f>E69+F69-1</f>
        <v>45960</v>
      </c>
      <c r="H69" s="121" t="s">
        <v>199</v>
      </c>
    </row>
    <row r="70" spans="1:8" x14ac:dyDescent="0.25">
      <c r="A70" s="44">
        <f t="shared" si="8"/>
        <v>63</v>
      </c>
      <c r="B70" s="138"/>
      <c r="C70" s="139"/>
      <c r="D70" s="48" t="s">
        <v>200</v>
      </c>
      <c r="E70" s="64">
        <f>G69</f>
        <v>45960</v>
      </c>
      <c r="F70" s="39">
        <v>8</v>
      </c>
      <c r="G70" s="64">
        <f>E70+F70+1</f>
        <v>45969</v>
      </c>
      <c r="H70" s="121" t="s">
        <v>203</v>
      </c>
    </row>
    <row r="71" spans="1:8" x14ac:dyDescent="0.25">
      <c r="A71" s="44">
        <f t="shared" si="8"/>
        <v>64</v>
      </c>
      <c r="B71" s="138"/>
      <c r="C71" s="139"/>
      <c r="D71" s="81" t="s">
        <v>201</v>
      </c>
      <c r="E71" s="82">
        <f>G70+4</f>
        <v>45973</v>
      </c>
      <c r="F71" s="83">
        <v>1</v>
      </c>
      <c r="G71" s="82">
        <f>E71</f>
        <v>45973</v>
      </c>
      <c r="H71" s="121"/>
    </row>
    <row r="72" spans="1:8" x14ac:dyDescent="0.25">
      <c r="A72" s="44">
        <f t="shared" si="8"/>
        <v>65</v>
      </c>
      <c r="B72" s="138"/>
      <c r="C72" s="139"/>
      <c r="D72" s="48" t="s">
        <v>202</v>
      </c>
      <c r="E72" s="64">
        <f>G71+1</f>
        <v>45974</v>
      </c>
      <c r="F72" s="39">
        <v>3</v>
      </c>
      <c r="G72" s="64">
        <f t="shared" ref="G72:G77" si="9">E72+F72</f>
        <v>45977</v>
      </c>
      <c r="H72" s="110"/>
    </row>
    <row r="73" spans="1:8" x14ac:dyDescent="0.25">
      <c r="A73" s="52"/>
      <c r="B73" s="138"/>
      <c r="C73" s="139"/>
      <c r="D73" s="48" t="s">
        <v>209</v>
      </c>
      <c r="E73" s="64">
        <f>E72+1</f>
        <v>45975</v>
      </c>
      <c r="F73" s="39">
        <v>3</v>
      </c>
      <c r="G73" s="64">
        <f t="shared" si="9"/>
        <v>45978</v>
      </c>
      <c r="H73" s="110"/>
    </row>
    <row r="74" spans="1:8" x14ac:dyDescent="0.25">
      <c r="A74" s="52">
        <f>A72+1</f>
        <v>66</v>
      </c>
      <c r="B74" s="138"/>
      <c r="C74" s="139"/>
      <c r="D74" s="48" t="s">
        <v>205</v>
      </c>
      <c r="E74" s="64">
        <f>G72+1</f>
        <v>45978</v>
      </c>
      <c r="F74" s="39">
        <v>6</v>
      </c>
      <c r="G74" s="64">
        <f t="shared" si="9"/>
        <v>45984</v>
      </c>
      <c r="H74" s="110" t="s">
        <v>211</v>
      </c>
    </row>
    <row r="75" spans="1:8" ht="28.5" x14ac:dyDescent="0.25">
      <c r="A75" s="44">
        <f t="shared" si="8"/>
        <v>67</v>
      </c>
      <c r="B75" s="138"/>
      <c r="C75" s="139"/>
      <c r="D75" s="48" t="s">
        <v>206</v>
      </c>
      <c r="E75" s="64">
        <f>E74+2</f>
        <v>45980</v>
      </c>
      <c r="F75" s="39">
        <v>4</v>
      </c>
      <c r="G75" s="64">
        <f t="shared" si="9"/>
        <v>45984</v>
      </c>
      <c r="H75" s="110" t="s">
        <v>212</v>
      </c>
    </row>
    <row r="76" spans="1:8" ht="33" x14ac:dyDescent="0.25">
      <c r="A76" s="44">
        <f t="shared" si="8"/>
        <v>68</v>
      </c>
      <c r="B76" s="138"/>
      <c r="C76" s="139"/>
      <c r="D76" s="48" t="s">
        <v>224</v>
      </c>
      <c r="E76" s="64">
        <f>G75+1</f>
        <v>45985</v>
      </c>
      <c r="F76" s="39">
        <v>28</v>
      </c>
      <c r="G76" s="64">
        <f t="shared" si="9"/>
        <v>46013</v>
      </c>
      <c r="H76" s="110" t="s">
        <v>213</v>
      </c>
    </row>
    <row r="77" spans="1:8" ht="33" x14ac:dyDescent="0.25">
      <c r="A77" s="44">
        <f t="shared" si="8"/>
        <v>69</v>
      </c>
      <c r="B77" s="138"/>
      <c r="C77" s="139"/>
      <c r="D77" s="48" t="s">
        <v>225</v>
      </c>
      <c r="E77" s="64">
        <f>E76+4</f>
        <v>45989</v>
      </c>
      <c r="F77" s="39">
        <v>25</v>
      </c>
      <c r="G77" s="64">
        <f t="shared" si="9"/>
        <v>46014</v>
      </c>
      <c r="H77" s="110" t="s">
        <v>207</v>
      </c>
    </row>
    <row r="78" spans="1:8" ht="33" x14ac:dyDescent="0.25">
      <c r="A78" s="44">
        <f>A77+1</f>
        <v>70</v>
      </c>
      <c r="B78" s="138"/>
      <c r="C78" s="139"/>
      <c r="D78" s="48" t="s">
        <v>210</v>
      </c>
      <c r="E78" s="64">
        <f>E76+12</f>
        <v>45997</v>
      </c>
      <c r="F78" s="39">
        <v>5</v>
      </c>
      <c r="G78" s="64">
        <f>E78+F78</f>
        <v>46002</v>
      </c>
      <c r="H78" s="110" t="s">
        <v>214</v>
      </c>
    </row>
    <row r="79" spans="1:8" ht="33" x14ac:dyDescent="0.25">
      <c r="A79" s="52">
        <f t="shared" si="8"/>
        <v>71</v>
      </c>
      <c r="B79" s="138"/>
      <c r="C79" s="139"/>
      <c r="D79" s="48" t="s">
        <v>226</v>
      </c>
      <c r="E79" s="64">
        <f>G78+1</f>
        <v>46003</v>
      </c>
      <c r="F79" s="39">
        <v>43</v>
      </c>
      <c r="G79" s="64">
        <f>E79+F79</f>
        <v>46046</v>
      </c>
      <c r="H79" s="110" t="s">
        <v>227</v>
      </c>
    </row>
    <row r="80" spans="1:8" x14ac:dyDescent="0.25">
      <c r="A80" s="52">
        <f t="shared" si="8"/>
        <v>72</v>
      </c>
      <c r="B80" s="140"/>
      <c r="C80" s="141"/>
      <c r="D80" s="48" t="s">
        <v>208</v>
      </c>
      <c r="E80" s="64">
        <f>G74</f>
        <v>45984</v>
      </c>
      <c r="F80" s="39">
        <v>22</v>
      </c>
      <c r="G80" s="64">
        <f t="shared" ref="G80:G86" si="10">E80+F80</f>
        <v>46006</v>
      </c>
      <c r="H80" s="110"/>
    </row>
    <row r="81" spans="1:8" x14ac:dyDescent="0.25">
      <c r="A81" s="52">
        <f t="shared" si="8"/>
        <v>73</v>
      </c>
      <c r="B81" s="136" t="s">
        <v>216</v>
      </c>
      <c r="C81" s="137"/>
      <c r="D81" s="48" t="s">
        <v>221</v>
      </c>
      <c r="E81" s="64">
        <f>G80-3</f>
        <v>46003</v>
      </c>
      <c r="F81" s="39">
        <v>0</v>
      </c>
      <c r="G81" s="64">
        <f t="shared" si="10"/>
        <v>46003</v>
      </c>
      <c r="H81" s="110"/>
    </row>
    <row r="82" spans="1:8" x14ac:dyDescent="0.25">
      <c r="A82" s="52">
        <f t="shared" si="8"/>
        <v>74</v>
      </c>
      <c r="B82" s="138"/>
      <c r="C82" s="139"/>
      <c r="D82" s="48" t="s">
        <v>217</v>
      </c>
      <c r="E82" s="64">
        <f>G81+1</f>
        <v>46004</v>
      </c>
      <c r="F82" s="39">
        <v>1</v>
      </c>
      <c r="G82" s="64">
        <f t="shared" si="10"/>
        <v>46005</v>
      </c>
      <c r="H82" s="110"/>
    </row>
    <row r="83" spans="1:8" x14ac:dyDescent="0.25">
      <c r="A83" s="52">
        <f t="shared" si="8"/>
        <v>75</v>
      </c>
      <c r="B83" s="138"/>
      <c r="C83" s="139"/>
      <c r="D83" s="48" t="s">
        <v>220</v>
      </c>
      <c r="E83" s="64">
        <f>G82+2</f>
        <v>46007</v>
      </c>
      <c r="F83" s="39">
        <v>3</v>
      </c>
      <c r="G83" s="64">
        <f t="shared" si="10"/>
        <v>46010</v>
      </c>
      <c r="H83" s="110"/>
    </row>
    <row r="84" spans="1:8" x14ac:dyDescent="0.25">
      <c r="A84" s="52">
        <f t="shared" si="8"/>
        <v>76</v>
      </c>
      <c r="B84" s="138"/>
      <c r="C84" s="139"/>
      <c r="D84" s="48" t="s">
        <v>218</v>
      </c>
      <c r="E84" s="64">
        <f>E82+2</f>
        <v>46006</v>
      </c>
      <c r="F84" s="39">
        <v>3</v>
      </c>
      <c r="G84" s="64">
        <f t="shared" si="10"/>
        <v>46009</v>
      </c>
      <c r="H84" s="110"/>
    </row>
    <row r="85" spans="1:8" x14ac:dyDescent="0.25">
      <c r="A85" s="44">
        <f t="shared" si="8"/>
        <v>77</v>
      </c>
      <c r="B85" s="138"/>
      <c r="C85" s="139"/>
      <c r="D85" s="90" t="s">
        <v>215</v>
      </c>
      <c r="E85" s="91">
        <f>G84+1</f>
        <v>46010</v>
      </c>
      <c r="F85" s="92">
        <v>0</v>
      </c>
      <c r="G85" s="91">
        <f t="shared" si="10"/>
        <v>46010</v>
      </c>
      <c r="H85" s="110"/>
    </row>
    <row r="86" spans="1:8" x14ac:dyDescent="0.25">
      <c r="A86" s="44">
        <f t="shared" si="8"/>
        <v>78</v>
      </c>
      <c r="B86" s="138"/>
      <c r="C86" s="139"/>
      <c r="D86" s="48" t="s">
        <v>219</v>
      </c>
      <c r="E86" s="64">
        <f>G85+1</f>
        <v>46011</v>
      </c>
      <c r="F86" s="39">
        <v>2</v>
      </c>
      <c r="G86" s="64">
        <f t="shared" si="10"/>
        <v>46013</v>
      </c>
      <c r="H86" s="110"/>
    </row>
    <row r="87" spans="1:8" x14ac:dyDescent="0.25">
      <c r="A87" s="52">
        <f t="shared" si="8"/>
        <v>79</v>
      </c>
      <c r="B87" s="136" t="s">
        <v>37</v>
      </c>
      <c r="C87" s="137"/>
      <c r="D87" s="48" t="s">
        <v>222</v>
      </c>
      <c r="E87" s="64">
        <f>G86+24</f>
        <v>46037</v>
      </c>
      <c r="F87" s="39">
        <v>29</v>
      </c>
      <c r="G87" s="64">
        <f>E87+F87</f>
        <v>46066</v>
      </c>
      <c r="H87" s="107" t="s">
        <v>182</v>
      </c>
    </row>
    <row r="88" spans="1:8" x14ac:dyDescent="0.25">
      <c r="A88" s="52">
        <f t="shared" si="8"/>
        <v>80</v>
      </c>
      <c r="B88" s="138"/>
      <c r="C88" s="139"/>
      <c r="D88" s="48" t="s">
        <v>223</v>
      </c>
      <c r="E88" s="64">
        <f>E87+13</f>
        <v>46050</v>
      </c>
      <c r="F88" s="39">
        <v>1</v>
      </c>
      <c r="G88" s="64">
        <f>E88+F88</f>
        <v>46051</v>
      </c>
      <c r="H88" s="107"/>
    </row>
    <row r="89" spans="1:8" x14ac:dyDescent="0.25">
      <c r="A89" s="44">
        <f t="shared" si="8"/>
        <v>81</v>
      </c>
      <c r="B89" s="138"/>
      <c r="C89" s="139"/>
      <c r="D89" s="48" t="s">
        <v>228</v>
      </c>
      <c r="E89" s="64">
        <v>46052</v>
      </c>
      <c r="F89" s="39">
        <v>35</v>
      </c>
      <c r="G89" s="64">
        <f>E89+F89</f>
        <v>46087</v>
      </c>
      <c r="H89" s="107"/>
    </row>
    <row r="90" spans="1:8" x14ac:dyDescent="0.25">
      <c r="A90" s="44">
        <f t="shared" si="8"/>
        <v>82</v>
      </c>
      <c r="B90" s="138"/>
      <c r="C90" s="139"/>
      <c r="D90" s="48" t="s">
        <v>229</v>
      </c>
      <c r="E90" s="64">
        <f>E89+10</f>
        <v>46062</v>
      </c>
      <c r="F90" s="39">
        <v>33</v>
      </c>
      <c r="G90" s="64">
        <f>E90+F90</f>
        <v>46095</v>
      </c>
      <c r="H90" s="107"/>
    </row>
    <row r="91" spans="1:8" x14ac:dyDescent="0.25">
      <c r="A91" s="44">
        <f t="shared" si="8"/>
        <v>83</v>
      </c>
      <c r="B91" s="138"/>
      <c r="C91" s="139"/>
      <c r="D91" s="48" t="s">
        <v>230</v>
      </c>
      <c r="E91" s="64">
        <f>G90-3</f>
        <v>46092</v>
      </c>
      <c r="F91" s="39">
        <v>5</v>
      </c>
      <c r="G91" s="64">
        <f>E91+F91</f>
        <v>46097</v>
      </c>
      <c r="H91" s="107"/>
    </row>
    <row r="92" spans="1:8" x14ac:dyDescent="0.25">
      <c r="A92" s="52">
        <f t="shared" si="8"/>
        <v>84</v>
      </c>
      <c r="B92" s="138"/>
      <c r="C92" s="139"/>
      <c r="D92" s="48" t="s">
        <v>231</v>
      </c>
      <c r="E92" s="64">
        <f t="shared" ref="E92:E97" si="11">G91+1</f>
        <v>46098</v>
      </c>
      <c r="F92" s="39">
        <v>1</v>
      </c>
      <c r="G92" s="64">
        <f>E92+F92-1</f>
        <v>46098</v>
      </c>
      <c r="H92" s="107"/>
    </row>
    <row r="93" spans="1:8" x14ac:dyDescent="0.25">
      <c r="A93" s="44">
        <f t="shared" si="8"/>
        <v>85</v>
      </c>
      <c r="B93" s="138"/>
      <c r="C93" s="139"/>
      <c r="D93" s="48" t="s">
        <v>232</v>
      </c>
      <c r="E93" s="64">
        <f t="shared" si="11"/>
        <v>46099</v>
      </c>
      <c r="F93" s="39">
        <v>1</v>
      </c>
      <c r="G93" s="64">
        <f>E93+F93-1</f>
        <v>46099</v>
      </c>
      <c r="H93" s="107"/>
    </row>
    <row r="94" spans="1:8" x14ac:dyDescent="0.25">
      <c r="A94" s="44">
        <f t="shared" si="8"/>
        <v>86</v>
      </c>
      <c r="B94" s="138"/>
      <c r="C94" s="139"/>
      <c r="D94" s="90" t="s">
        <v>233</v>
      </c>
      <c r="E94" s="91">
        <f t="shared" si="11"/>
        <v>46100</v>
      </c>
      <c r="F94" s="92">
        <v>1</v>
      </c>
      <c r="G94" s="91">
        <f>E94</f>
        <v>46100</v>
      </c>
      <c r="H94" s="107"/>
    </row>
    <row r="95" spans="1:8" x14ac:dyDescent="0.25">
      <c r="A95" s="44">
        <f t="shared" si="8"/>
        <v>87</v>
      </c>
      <c r="B95" s="138"/>
      <c r="C95" s="139"/>
      <c r="D95" s="48" t="s">
        <v>234</v>
      </c>
      <c r="E95" s="64">
        <f t="shared" si="11"/>
        <v>46101</v>
      </c>
      <c r="F95" s="39">
        <v>1</v>
      </c>
      <c r="G95" s="64">
        <f>E95</f>
        <v>46101</v>
      </c>
      <c r="H95" s="107"/>
    </row>
    <row r="96" spans="1:8" x14ac:dyDescent="0.25">
      <c r="A96" s="52">
        <f t="shared" si="8"/>
        <v>88</v>
      </c>
      <c r="B96" s="138"/>
      <c r="C96" s="139"/>
      <c r="D96" s="48" t="s">
        <v>235</v>
      </c>
      <c r="E96" s="64">
        <f t="shared" si="11"/>
        <v>46102</v>
      </c>
      <c r="F96" s="39">
        <v>1</v>
      </c>
      <c r="G96" s="64">
        <f>E96+F96</f>
        <v>46103</v>
      </c>
      <c r="H96" s="107"/>
    </row>
    <row r="97" spans="1:8" ht="28.5" x14ac:dyDescent="0.25">
      <c r="A97" s="44">
        <f t="shared" si="8"/>
        <v>89</v>
      </c>
      <c r="B97" s="138"/>
      <c r="C97" s="139"/>
      <c r="D97" s="40" t="s">
        <v>237</v>
      </c>
      <c r="E97" s="69">
        <f t="shared" si="11"/>
        <v>46104</v>
      </c>
      <c r="F97" s="12">
        <v>5</v>
      </c>
      <c r="G97" s="69">
        <f>E97+F97-1</f>
        <v>46108</v>
      </c>
      <c r="H97" s="125" t="s">
        <v>239</v>
      </c>
    </row>
    <row r="98" spans="1:8" x14ac:dyDescent="0.25">
      <c r="A98" s="44">
        <f t="shared" si="8"/>
        <v>90</v>
      </c>
      <c r="B98" s="138"/>
      <c r="C98" s="139"/>
      <c r="D98" s="40" t="s">
        <v>236</v>
      </c>
      <c r="E98" s="69">
        <f>G97</f>
        <v>46108</v>
      </c>
      <c r="F98" s="12">
        <v>1</v>
      </c>
      <c r="G98" s="69">
        <f>E98</f>
        <v>46108</v>
      </c>
      <c r="H98" s="105" t="s">
        <v>238</v>
      </c>
    </row>
    <row r="99" spans="1:8" x14ac:dyDescent="0.25">
      <c r="A99" s="44">
        <f t="shared" si="8"/>
        <v>91</v>
      </c>
      <c r="B99" s="140"/>
      <c r="C99" s="141"/>
      <c r="D99" s="40" t="s">
        <v>248</v>
      </c>
      <c r="E99" s="69">
        <f t="shared" ref="E99:E104" si="12">G98+1</f>
        <v>46109</v>
      </c>
      <c r="F99" s="12">
        <v>4</v>
      </c>
      <c r="G99" s="69">
        <f>E99+F99-1</f>
        <v>46112</v>
      </c>
      <c r="H99" s="105" t="s">
        <v>249</v>
      </c>
    </row>
    <row r="100" spans="1:8" x14ac:dyDescent="0.25">
      <c r="A100" s="52">
        <f t="shared" si="8"/>
        <v>92</v>
      </c>
      <c r="B100" s="136" t="s">
        <v>38</v>
      </c>
      <c r="C100" s="137"/>
      <c r="D100" s="40" t="s">
        <v>247</v>
      </c>
      <c r="E100" s="69">
        <f t="shared" si="12"/>
        <v>46113</v>
      </c>
      <c r="F100" s="12">
        <v>7</v>
      </c>
      <c r="G100" s="69">
        <f>E100+F100</f>
        <v>46120</v>
      </c>
      <c r="H100" s="105" t="s">
        <v>245</v>
      </c>
    </row>
    <row r="101" spans="1:8" x14ac:dyDescent="0.25">
      <c r="A101" s="44">
        <f t="shared" si="8"/>
        <v>93</v>
      </c>
      <c r="B101" s="138"/>
      <c r="C101" s="139"/>
      <c r="D101" s="90" t="s">
        <v>250</v>
      </c>
      <c r="E101" s="91">
        <f t="shared" si="12"/>
        <v>46121</v>
      </c>
      <c r="F101" s="92">
        <v>1</v>
      </c>
      <c r="G101" s="91">
        <f>E101</f>
        <v>46121</v>
      </c>
      <c r="H101" s="105"/>
    </row>
    <row r="102" spans="1:8" x14ac:dyDescent="0.25">
      <c r="A102" s="44">
        <f t="shared" si="8"/>
        <v>94</v>
      </c>
      <c r="B102" s="138"/>
      <c r="C102" s="139"/>
      <c r="D102" s="40" t="s">
        <v>254</v>
      </c>
      <c r="E102" s="69">
        <f t="shared" si="12"/>
        <v>46122</v>
      </c>
      <c r="F102" s="12">
        <v>2</v>
      </c>
      <c r="G102" s="69">
        <f>E102+F102</f>
        <v>46124</v>
      </c>
      <c r="H102" s="105"/>
    </row>
    <row r="103" spans="1:8" x14ac:dyDescent="0.25">
      <c r="A103" s="44">
        <f t="shared" si="8"/>
        <v>95</v>
      </c>
      <c r="B103" s="138"/>
      <c r="C103" s="139"/>
      <c r="D103" s="40" t="s">
        <v>246</v>
      </c>
      <c r="E103" s="69">
        <f t="shared" si="12"/>
        <v>46125</v>
      </c>
      <c r="F103" s="12">
        <v>1</v>
      </c>
      <c r="G103" s="69">
        <f>E103+F103</f>
        <v>46126</v>
      </c>
      <c r="H103" s="105"/>
    </row>
    <row r="104" spans="1:8" ht="28.5" x14ac:dyDescent="0.25">
      <c r="A104" s="44">
        <f t="shared" si="8"/>
        <v>96</v>
      </c>
      <c r="B104" s="138"/>
      <c r="C104" s="139"/>
      <c r="D104" s="40" t="s">
        <v>237</v>
      </c>
      <c r="E104" s="69">
        <f t="shared" si="12"/>
        <v>46127</v>
      </c>
      <c r="F104" s="12">
        <v>5</v>
      </c>
      <c r="G104" s="69">
        <f>E104+F104</f>
        <v>46132</v>
      </c>
      <c r="H104" s="105" t="s">
        <v>310</v>
      </c>
    </row>
    <row r="105" spans="1:8" x14ac:dyDescent="0.25">
      <c r="A105" s="44">
        <f>A104+1</f>
        <v>97</v>
      </c>
      <c r="B105" s="138"/>
      <c r="C105" s="139"/>
      <c r="D105" s="40" t="s">
        <v>236</v>
      </c>
      <c r="E105" s="69">
        <f>G104-2</f>
        <v>46130</v>
      </c>
      <c r="F105" s="12">
        <v>1</v>
      </c>
      <c r="G105" s="69">
        <f>E105+F105-1</f>
        <v>46130</v>
      </c>
      <c r="H105" s="105"/>
    </row>
    <row r="106" spans="1:8" x14ac:dyDescent="0.25">
      <c r="A106" s="44">
        <f t="shared" si="8"/>
        <v>98</v>
      </c>
      <c r="B106" s="140"/>
      <c r="C106" s="141"/>
      <c r="D106" s="48" t="s">
        <v>255</v>
      </c>
      <c r="E106" s="64">
        <f t="shared" ref="E106:E112" si="13">G105+1</f>
        <v>46131</v>
      </c>
      <c r="F106" s="39">
        <v>3</v>
      </c>
      <c r="G106" s="64">
        <f>E106+F106</f>
        <v>46134</v>
      </c>
      <c r="H106" s="107"/>
    </row>
    <row r="107" spans="1:8" x14ac:dyDescent="0.25">
      <c r="A107" s="44">
        <f t="shared" si="8"/>
        <v>99</v>
      </c>
      <c r="B107" s="136" t="s">
        <v>39</v>
      </c>
      <c r="C107" s="137"/>
      <c r="D107" s="87" t="s">
        <v>247</v>
      </c>
      <c r="E107" s="88">
        <f t="shared" si="13"/>
        <v>46135</v>
      </c>
      <c r="F107" s="89">
        <v>6</v>
      </c>
      <c r="G107" s="88">
        <f>E107+F107</f>
        <v>46141</v>
      </c>
      <c r="H107" s="105" t="s">
        <v>259</v>
      </c>
    </row>
    <row r="108" spans="1:8" x14ac:dyDescent="0.25">
      <c r="A108" s="44">
        <f t="shared" si="8"/>
        <v>100</v>
      </c>
      <c r="B108" s="138"/>
      <c r="C108" s="139"/>
      <c r="D108" s="90" t="s">
        <v>256</v>
      </c>
      <c r="E108" s="91">
        <f t="shared" si="13"/>
        <v>46142</v>
      </c>
      <c r="F108" s="92">
        <v>1</v>
      </c>
      <c r="G108" s="91">
        <f>E108</f>
        <v>46142</v>
      </c>
      <c r="H108" s="126"/>
    </row>
    <row r="109" spans="1:8" x14ac:dyDescent="0.25">
      <c r="A109" s="44">
        <f t="shared" si="8"/>
        <v>101</v>
      </c>
      <c r="B109" s="138"/>
      <c r="C109" s="139"/>
      <c r="D109" s="40" t="s">
        <v>257</v>
      </c>
      <c r="E109" s="69">
        <f t="shared" si="13"/>
        <v>46143</v>
      </c>
      <c r="F109" s="12">
        <v>1</v>
      </c>
      <c r="G109" s="69">
        <f>E109+F109-1</f>
        <v>46143</v>
      </c>
      <c r="H109" s="126"/>
    </row>
    <row r="110" spans="1:8" x14ac:dyDescent="0.25">
      <c r="A110" s="44">
        <f t="shared" si="8"/>
        <v>102</v>
      </c>
      <c r="B110" s="138"/>
      <c r="C110" s="139"/>
      <c r="D110" s="40" t="s">
        <v>258</v>
      </c>
      <c r="E110" s="69">
        <f t="shared" si="13"/>
        <v>46144</v>
      </c>
      <c r="F110" s="12">
        <v>1</v>
      </c>
      <c r="G110" s="69">
        <f>E110</f>
        <v>46144</v>
      </c>
      <c r="H110" s="126"/>
    </row>
    <row r="111" spans="1:8" x14ac:dyDescent="0.25">
      <c r="A111" s="44">
        <f t="shared" si="8"/>
        <v>103</v>
      </c>
      <c r="B111" s="138"/>
      <c r="C111" s="139"/>
      <c r="D111" s="40" t="s">
        <v>237</v>
      </c>
      <c r="E111" s="69">
        <f t="shared" si="13"/>
        <v>46145</v>
      </c>
      <c r="F111" s="12">
        <v>4</v>
      </c>
      <c r="G111" s="69">
        <f>E111+F111</f>
        <v>46149</v>
      </c>
      <c r="H111" s="126" t="s">
        <v>253</v>
      </c>
    </row>
    <row r="112" spans="1:8" x14ac:dyDescent="0.25">
      <c r="A112" s="44">
        <f t="shared" si="8"/>
        <v>104</v>
      </c>
      <c r="B112" s="140"/>
      <c r="C112" s="141"/>
      <c r="D112" s="40" t="s">
        <v>236</v>
      </c>
      <c r="E112" s="69">
        <f t="shared" si="13"/>
        <v>46150</v>
      </c>
      <c r="F112" s="12">
        <v>1</v>
      </c>
      <c r="G112" s="69">
        <f>E112</f>
        <v>46150</v>
      </c>
      <c r="H112" s="126"/>
    </row>
    <row r="113" spans="1:10" x14ac:dyDescent="0.25">
      <c r="A113" s="44">
        <f t="shared" si="8"/>
        <v>105</v>
      </c>
      <c r="B113" s="142" t="s">
        <v>240</v>
      </c>
      <c r="C113" s="143"/>
      <c r="D113" s="40" t="s">
        <v>273</v>
      </c>
      <c r="E113" s="69">
        <f>G112</f>
        <v>46150</v>
      </c>
      <c r="F113" s="12">
        <v>3</v>
      </c>
      <c r="G113" s="69">
        <f>E113+F113</f>
        <v>46153</v>
      </c>
      <c r="H113" s="126" t="s">
        <v>271</v>
      </c>
    </row>
    <row r="114" spans="1:10" ht="33" x14ac:dyDescent="0.25">
      <c r="A114" s="44">
        <f t="shared" si="8"/>
        <v>106</v>
      </c>
      <c r="B114" s="142"/>
      <c r="C114" s="143"/>
      <c r="D114" s="40" t="s">
        <v>272</v>
      </c>
      <c r="E114" s="69">
        <f>G113+1</f>
        <v>46154</v>
      </c>
      <c r="F114" s="12">
        <v>6</v>
      </c>
      <c r="G114" s="69">
        <f>E114+F114</f>
        <v>46160</v>
      </c>
      <c r="H114" s="126" t="s">
        <v>260</v>
      </c>
      <c r="J114" s="86"/>
    </row>
    <row r="115" spans="1:10" x14ac:dyDescent="0.25">
      <c r="A115" s="44">
        <f t="shared" si="8"/>
        <v>107</v>
      </c>
      <c r="B115" s="142"/>
      <c r="C115" s="143"/>
      <c r="D115" s="90" t="s">
        <v>252</v>
      </c>
      <c r="E115" s="91">
        <f>G114+1</f>
        <v>46161</v>
      </c>
      <c r="F115" s="92">
        <v>1</v>
      </c>
      <c r="G115" s="91">
        <f>E115</f>
        <v>46161</v>
      </c>
      <c r="H115" s="126"/>
      <c r="I115" s="32"/>
    </row>
    <row r="116" spans="1:10" x14ac:dyDescent="0.25">
      <c r="A116" s="44">
        <f t="shared" si="8"/>
        <v>108</v>
      </c>
      <c r="B116" s="142"/>
      <c r="C116" s="143"/>
      <c r="D116" s="40" t="s">
        <v>251</v>
      </c>
      <c r="E116" s="64">
        <f>G115+1</f>
        <v>46162</v>
      </c>
      <c r="F116" s="12">
        <v>1</v>
      </c>
      <c r="G116" s="64">
        <f>E116+F116</f>
        <v>46163</v>
      </c>
      <c r="H116" s="126"/>
      <c r="I116" s="32"/>
    </row>
    <row r="117" spans="1:10" x14ac:dyDescent="0.25">
      <c r="A117" s="44">
        <f t="shared" si="8"/>
        <v>109</v>
      </c>
      <c r="B117" s="142"/>
      <c r="C117" s="143"/>
      <c r="D117" s="40" t="s">
        <v>276</v>
      </c>
      <c r="E117" s="64">
        <f>G116</f>
        <v>46163</v>
      </c>
      <c r="F117" s="12">
        <v>2</v>
      </c>
      <c r="G117" s="64">
        <f t="shared" ref="G117" si="14">E117+F117</f>
        <v>46165</v>
      </c>
      <c r="H117" s="126"/>
      <c r="I117" s="32"/>
    </row>
    <row r="118" spans="1:10" x14ac:dyDescent="0.25">
      <c r="A118" s="44">
        <f t="shared" si="8"/>
        <v>110</v>
      </c>
      <c r="B118" s="142"/>
      <c r="C118" s="143"/>
      <c r="D118" s="40" t="s">
        <v>237</v>
      </c>
      <c r="E118" s="64">
        <f>G117+1</f>
        <v>46166</v>
      </c>
      <c r="F118" s="12">
        <v>5</v>
      </c>
      <c r="G118" s="64">
        <f>E118+F118-1</f>
        <v>46170</v>
      </c>
      <c r="H118" s="126"/>
    </row>
    <row r="119" spans="1:10" x14ac:dyDescent="0.25">
      <c r="A119" s="44">
        <f t="shared" si="8"/>
        <v>111</v>
      </c>
      <c r="B119" s="142"/>
      <c r="C119" s="143"/>
      <c r="D119" s="40" t="s">
        <v>277</v>
      </c>
      <c r="E119" s="64">
        <f>G118+1</f>
        <v>46171</v>
      </c>
      <c r="F119" s="12">
        <v>1</v>
      </c>
      <c r="G119" s="64">
        <f>E119</f>
        <v>46171</v>
      </c>
      <c r="H119" s="126"/>
    </row>
    <row r="120" spans="1:10" ht="28.5" x14ac:dyDescent="0.25">
      <c r="A120" s="44">
        <f>A119+1</f>
        <v>112</v>
      </c>
      <c r="B120" s="142" t="s">
        <v>241</v>
      </c>
      <c r="C120" s="143"/>
      <c r="D120" s="40" t="s">
        <v>278</v>
      </c>
      <c r="E120" s="64">
        <f>G119-1</f>
        <v>46170</v>
      </c>
      <c r="F120" s="12">
        <v>5</v>
      </c>
      <c r="G120" s="64">
        <f>E120+F120-1</f>
        <v>46174</v>
      </c>
      <c r="H120" s="127" t="s">
        <v>280</v>
      </c>
    </row>
    <row r="121" spans="1:10" x14ac:dyDescent="0.25">
      <c r="A121" s="44">
        <f>A120+1</f>
        <v>113</v>
      </c>
      <c r="B121" s="142"/>
      <c r="C121" s="143"/>
      <c r="D121" s="40" t="s">
        <v>279</v>
      </c>
      <c r="E121" s="64">
        <f>G120+1</f>
        <v>46175</v>
      </c>
      <c r="F121" s="12">
        <v>1</v>
      </c>
      <c r="G121" s="64">
        <f>E121+F121-1</f>
        <v>46175</v>
      </c>
      <c r="H121" s="126"/>
      <c r="I121" s="86"/>
    </row>
    <row r="122" spans="1:10" x14ac:dyDescent="0.25">
      <c r="A122" s="44">
        <f t="shared" si="8"/>
        <v>114</v>
      </c>
      <c r="B122" s="142"/>
      <c r="C122" s="143"/>
      <c r="D122" s="48" t="s">
        <v>281</v>
      </c>
      <c r="E122" s="64">
        <f>G121</f>
        <v>46175</v>
      </c>
      <c r="F122" s="39">
        <v>5</v>
      </c>
      <c r="G122" s="82">
        <f>E122+F122</f>
        <v>46180</v>
      </c>
      <c r="H122" s="126"/>
    </row>
    <row r="123" spans="1:10" x14ac:dyDescent="0.25">
      <c r="A123" s="44">
        <f t="shared" si="8"/>
        <v>115</v>
      </c>
      <c r="B123" s="142"/>
      <c r="C123" s="143"/>
      <c r="D123" s="81" t="s">
        <v>242</v>
      </c>
      <c r="E123" s="82">
        <f>G122+1</f>
        <v>46181</v>
      </c>
      <c r="F123" s="83">
        <v>1</v>
      </c>
      <c r="G123" s="82">
        <f>E123</f>
        <v>46181</v>
      </c>
      <c r="H123" s="126"/>
    </row>
    <row r="124" spans="1:10" x14ac:dyDescent="0.25">
      <c r="A124" s="44">
        <f>A123+1</f>
        <v>116</v>
      </c>
      <c r="B124" s="142"/>
      <c r="C124" s="143"/>
      <c r="D124" s="48" t="s">
        <v>251</v>
      </c>
      <c r="E124" s="64">
        <f>G123+1</f>
        <v>46182</v>
      </c>
      <c r="F124" s="39">
        <v>1</v>
      </c>
      <c r="G124" s="64">
        <f>E124+F124-1</f>
        <v>46182</v>
      </c>
      <c r="H124" s="126"/>
    </row>
    <row r="125" spans="1:10" x14ac:dyDescent="0.25">
      <c r="A125" s="44">
        <f>A124+1</f>
        <v>117</v>
      </c>
      <c r="B125" s="142"/>
      <c r="C125" s="143"/>
      <c r="D125" s="48" t="s">
        <v>276</v>
      </c>
      <c r="E125" s="64">
        <f>G124+1</f>
        <v>46183</v>
      </c>
      <c r="F125" s="39">
        <v>1</v>
      </c>
      <c r="G125" s="64">
        <f>E125+F125-1</f>
        <v>46183</v>
      </c>
      <c r="H125" s="126"/>
    </row>
    <row r="126" spans="1:10" x14ac:dyDescent="0.25">
      <c r="A126" s="44">
        <f>A125+1</f>
        <v>118</v>
      </c>
      <c r="B126" s="142"/>
      <c r="C126" s="143"/>
      <c r="D126" s="48" t="s">
        <v>237</v>
      </c>
      <c r="E126" s="64">
        <f>G125+1</f>
        <v>46184</v>
      </c>
      <c r="F126" s="39">
        <v>4</v>
      </c>
      <c r="G126" s="64">
        <f>E126+F126</f>
        <v>46188</v>
      </c>
      <c r="H126" s="126"/>
    </row>
    <row r="127" spans="1:10" x14ac:dyDescent="0.25">
      <c r="A127" s="44">
        <f>A126+1</f>
        <v>119</v>
      </c>
      <c r="B127" s="142"/>
      <c r="C127" s="143"/>
      <c r="D127" s="101" t="s">
        <v>283</v>
      </c>
      <c r="E127" s="102">
        <f>G126+1</f>
        <v>46189</v>
      </c>
      <c r="F127" s="103">
        <v>1</v>
      </c>
      <c r="G127" s="102">
        <f>E127+F127</f>
        <v>46190</v>
      </c>
      <c r="H127" s="128"/>
    </row>
    <row r="128" spans="1:10" x14ac:dyDescent="0.25">
      <c r="A128" s="44">
        <f>A123+1</f>
        <v>116</v>
      </c>
      <c r="B128" s="142" t="s">
        <v>282</v>
      </c>
      <c r="C128" s="143"/>
      <c r="D128" s="48" t="s">
        <v>288</v>
      </c>
      <c r="E128" s="64">
        <f>G126</f>
        <v>46188</v>
      </c>
      <c r="F128" s="39">
        <v>5</v>
      </c>
      <c r="G128" s="72">
        <f>E128+F128-1</f>
        <v>46192</v>
      </c>
      <c r="H128" s="127" t="s">
        <v>289</v>
      </c>
    </row>
    <row r="129" spans="1:8" x14ac:dyDescent="0.25">
      <c r="A129" s="44">
        <f t="shared" si="8"/>
        <v>117</v>
      </c>
      <c r="B129" s="142"/>
      <c r="C129" s="143"/>
      <c r="D129" s="48" t="s">
        <v>279</v>
      </c>
      <c r="E129" s="64">
        <f>G128+1</f>
        <v>46193</v>
      </c>
      <c r="F129" s="39">
        <v>1</v>
      </c>
      <c r="G129" s="64">
        <f>E129</f>
        <v>46193</v>
      </c>
      <c r="H129" s="126"/>
    </row>
    <row r="130" spans="1:8" x14ac:dyDescent="0.25">
      <c r="A130" s="44">
        <f t="shared" si="8"/>
        <v>118</v>
      </c>
      <c r="B130" s="142"/>
      <c r="C130" s="143"/>
      <c r="D130" s="48" t="s">
        <v>281</v>
      </c>
      <c r="E130" s="64">
        <f>G129</f>
        <v>46193</v>
      </c>
      <c r="F130" s="39">
        <v>5</v>
      </c>
      <c r="G130" s="64">
        <f>E130+F130</f>
        <v>46198</v>
      </c>
      <c r="H130" s="126"/>
    </row>
    <row r="131" spans="1:8" x14ac:dyDescent="0.25">
      <c r="A131" s="44">
        <f t="shared" ref="A131" si="15">A126+1</f>
        <v>119</v>
      </c>
      <c r="B131" s="142"/>
      <c r="C131" s="143"/>
      <c r="D131" s="100" t="s">
        <v>287</v>
      </c>
      <c r="E131" s="64">
        <f>G130</f>
        <v>46198</v>
      </c>
      <c r="F131" s="39">
        <v>1</v>
      </c>
      <c r="G131" s="64">
        <f>E131</f>
        <v>46198</v>
      </c>
      <c r="H131" s="127" t="s">
        <v>290</v>
      </c>
    </row>
    <row r="132" spans="1:8" x14ac:dyDescent="0.25">
      <c r="A132" s="44">
        <f t="shared" si="8"/>
        <v>120</v>
      </c>
      <c r="B132" s="142"/>
      <c r="C132" s="143"/>
      <c r="D132" s="81" t="s">
        <v>243</v>
      </c>
      <c r="E132" s="82">
        <f>G131+4</f>
        <v>46202</v>
      </c>
      <c r="F132" s="83">
        <v>1</v>
      </c>
      <c r="G132" s="82">
        <f>E132</f>
        <v>46202</v>
      </c>
      <c r="H132" s="126"/>
    </row>
    <row r="133" spans="1:8" x14ac:dyDescent="0.25">
      <c r="A133" s="44">
        <f t="shared" si="8"/>
        <v>121</v>
      </c>
      <c r="B133" s="142"/>
      <c r="C133" s="143"/>
      <c r="D133" s="48" t="s">
        <v>251</v>
      </c>
      <c r="E133" s="64">
        <f>G132+1</f>
        <v>46203</v>
      </c>
      <c r="F133" s="39">
        <v>1</v>
      </c>
      <c r="G133" s="64">
        <f>E133+F133-1</f>
        <v>46203</v>
      </c>
      <c r="H133" s="126"/>
    </row>
    <row r="134" spans="1:8" x14ac:dyDescent="0.25">
      <c r="A134" s="44">
        <f t="shared" si="8"/>
        <v>122</v>
      </c>
      <c r="B134" s="142"/>
      <c r="C134" s="143"/>
      <c r="D134" s="48" t="s">
        <v>276</v>
      </c>
      <c r="E134" s="64">
        <f>G133+1</f>
        <v>46204</v>
      </c>
      <c r="F134" s="39">
        <v>1</v>
      </c>
      <c r="G134" s="64">
        <f>E134+F134-1</f>
        <v>46204</v>
      </c>
      <c r="H134" s="126"/>
    </row>
    <row r="135" spans="1:8" x14ac:dyDescent="0.25">
      <c r="A135" s="44">
        <f t="shared" si="8"/>
        <v>123</v>
      </c>
      <c r="B135" s="142"/>
      <c r="C135" s="143"/>
      <c r="D135" s="48" t="s">
        <v>315</v>
      </c>
      <c r="E135" s="64">
        <f>G134+1</f>
        <v>46205</v>
      </c>
      <c r="F135" s="39">
        <v>4</v>
      </c>
      <c r="G135" s="64">
        <f>E135+F135-1</f>
        <v>46208</v>
      </c>
      <c r="H135" s="126"/>
    </row>
    <row r="136" spans="1:8" x14ac:dyDescent="0.25">
      <c r="A136" s="44">
        <f t="shared" si="8"/>
        <v>124</v>
      </c>
      <c r="B136" s="142"/>
      <c r="C136" s="143"/>
      <c r="D136" s="48" t="s">
        <v>312</v>
      </c>
      <c r="E136" s="64">
        <f>G135+1</f>
        <v>46209</v>
      </c>
      <c r="F136" s="39">
        <v>4</v>
      </c>
      <c r="G136" s="64">
        <f>E136+F136</f>
        <v>46213</v>
      </c>
      <c r="H136" s="126"/>
    </row>
    <row r="137" spans="1:8" x14ac:dyDescent="0.25">
      <c r="A137" s="44">
        <f t="shared" si="8"/>
        <v>125</v>
      </c>
      <c r="B137" s="142" t="s">
        <v>285</v>
      </c>
      <c r="C137" s="143"/>
      <c r="D137" s="48" t="s">
        <v>313</v>
      </c>
      <c r="E137" s="64">
        <f>G136</f>
        <v>46213</v>
      </c>
      <c r="F137" s="39">
        <v>1</v>
      </c>
      <c r="G137" s="64">
        <f>E137+F137-1</f>
        <v>46213</v>
      </c>
      <c r="H137" s="126"/>
    </row>
    <row r="138" spans="1:8" x14ac:dyDescent="0.25">
      <c r="A138" s="44">
        <f t="shared" ref="A138:A141" si="16">A137+1</f>
        <v>126</v>
      </c>
      <c r="B138" s="142"/>
      <c r="C138" s="143"/>
      <c r="D138" s="48" t="s">
        <v>279</v>
      </c>
      <c r="E138" s="64">
        <f>G137+1</f>
        <v>46214</v>
      </c>
      <c r="F138" s="39">
        <v>1</v>
      </c>
      <c r="G138" s="64">
        <f>E138</f>
        <v>46214</v>
      </c>
      <c r="H138" s="126"/>
    </row>
    <row r="139" spans="1:8" x14ac:dyDescent="0.25">
      <c r="A139" s="44">
        <f t="shared" si="16"/>
        <v>127</v>
      </c>
      <c r="B139" s="142"/>
      <c r="C139" s="143"/>
      <c r="D139" s="48" t="s">
        <v>314</v>
      </c>
      <c r="E139" s="64">
        <f>G138</f>
        <v>46214</v>
      </c>
      <c r="F139" s="39">
        <v>8</v>
      </c>
      <c r="G139" s="64">
        <f>E139+F139</f>
        <v>46222</v>
      </c>
      <c r="H139" s="126"/>
    </row>
    <row r="140" spans="1:8" x14ac:dyDescent="0.25">
      <c r="A140" s="44">
        <f t="shared" si="16"/>
        <v>128</v>
      </c>
      <c r="B140" s="142"/>
      <c r="C140" s="143"/>
      <c r="D140" s="81" t="s">
        <v>286</v>
      </c>
      <c r="E140" s="82">
        <f>G139+1</f>
        <v>46223</v>
      </c>
      <c r="F140" s="83">
        <v>1</v>
      </c>
      <c r="G140" s="82">
        <f>E140</f>
        <v>46223</v>
      </c>
      <c r="H140" s="126"/>
    </row>
    <row r="141" spans="1:8" x14ac:dyDescent="0.25">
      <c r="A141" s="44">
        <f t="shared" si="16"/>
        <v>129</v>
      </c>
      <c r="B141" s="142"/>
      <c r="C141" s="143"/>
      <c r="D141" s="48" t="s">
        <v>251</v>
      </c>
      <c r="E141" s="64">
        <f>G140+1</f>
        <v>46224</v>
      </c>
      <c r="F141" s="39">
        <v>2</v>
      </c>
      <c r="G141" s="64">
        <f>E141+F141</f>
        <v>46226</v>
      </c>
      <c r="H141" s="126"/>
    </row>
    <row r="142" spans="1:8" x14ac:dyDescent="0.25">
      <c r="A142" s="44">
        <f>A140+1</f>
        <v>129</v>
      </c>
      <c r="B142" s="142"/>
      <c r="C142" s="143"/>
      <c r="D142" s="48" t="s">
        <v>276</v>
      </c>
      <c r="E142" s="64">
        <f>G141-1</f>
        <v>46225</v>
      </c>
      <c r="F142" s="39">
        <v>2</v>
      </c>
      <c r="G142" s="64">
        <f>E142+F142</f>
        <v>46227</v>
      </c>
      <c r="H142" s="126"/>
    </row>
    <row r="143" spans="1:8" x14ac:dyDescent="0.25">
      <c r="A143" s="44">
        <f t="shared" ref="A143:A176" si="17">A142+1</f>
        <v>130</v>
      </c>
      <c r="B143" s="142"/>
      <c r="C143" s="143"/>
      <c r="D143" s="48" t="s">
        <v>237</v>
      </c>
      <c r="E143" s="64">
        <f>G142+1</f>
        <v>46228</v>
      </c>
      <c r="F143" s="39">
        <v>5</v>
      </c>
      <c r="G143" s="64">
        <f>E143+F143-1</f>
        <v>46232</v>
      </c>
      <c r="H143" s="126"/>
    </row>
    <row r="144" spans="1:8" x14ac:dyDescent="0.25">
      <c r="A144" s="44">
        <f t="shared" si="17"/>
        <v>131</v>
      </c>
      <c r="B144" s="142"/>
      <c r="C144" s="143"/>
      <c r="D144" s="48" t="s">
        <v>303</v>
      </c>
      <c r="E144" s="64">
        <f>G143+1</f>
        <v>46233</v>
      </c>
      <c r="F144" s="39">
        <v>1</v>
      </c>
      <c r="G144" s="64">
        <f>E144</f>
        <v>46233</v>
      </c>
      <c r="H144" s="126"/>
    </row>
    <row r="145" spans="1:8" x14ac:dyDescent="0.25">
      <c r="A145" s="44">
        <f t="shared" si="17"/>
        <v>132</v>
      </c>
      <c r="B145" s="169" t="s">
        <v>44</v>
      </c>
      <c r="C145" s="170"/>
      <c r="D145" s="48" t="s">
        <v>284</v>
      </c>
      <c r="E145" s="64">
        <f>G144+1</f>
        <v>46234</v>
      </c>
      <c r="F145" s="39">
        <v>5</v>
      </c>
      <c r="G145" s="64">
        <f>E145+F145-1</f>
        <v>46238</v>
      </c>
      <c r="H145" s="126"/>
    </row>
    <row r="146" spans="1:8" x14ac:dyDescent="0.25">
      <c r="A146" s="44">
        <f t="shared" ref="A146" si="18">A144+1</f>
        <v>132</v>
      </c>
      <c r="B146" s="171"/>
      <c r="C146" s="172"/>
      <c r="D146" s="48" t="s">
        <v>279</v>
      </c>
      <c r="E146" s="64">
        <f>G145+1</f>
        <v>46239</v>
      </c>
      <c r="F146" s="39">
        <v>1</v>
      </c>
      <c r="G146" s="64">
        <f>E146+F146-1</f>
        <v>46239</v>
      </c>
      <c r="H146" s="126"/>
    </row>
    <row r="147" spans="1:8" x14ac:dyDescent="0.25">
      <c r="A147" s="44">
        <f t="shared" si="17"/>
        <v>133</v>
      </c>
      <c r="B147" s="171"/>
      <c r="C147" s="172"/>
      <c r="D147" s="48" t="s">
        <v>281</v>
      </c>
      <c r="E147" s="64">
        <f>G146</f>
        <v>46239</v>
      </c>
      <c r="F147" s="39">
        <v>5</v>
      </c>
      <c r="G147" s="64">
        <f>E147+F147</f>
        <v>46244</v>
      </c>
      <c r="H147" s="126"/>
    </row>
    <row r="148" spans="1:8" x14ac:dyDescent="0.25">
      <c r="A148" s="44">
        <f t="shared" si="17"/>
        <v>134</v>
      </c>
      <c r="B148" s="171"/>
      <c r="C148" s="172"/>
      <c r="D148" s="81" t="s">
        <v>304</v>
      </c>
      <c r="E148" s="69">
        <f>G147+1</f>
        <v>46245</v>
      </c>
      <c r="F148" s="12">
        <v>1</v>
      </c>
      <c r="G148" s="64">
        <f>E148</f>
        <v>46245</v>
      </c>
      <c r="H148" s="126"/>
    </row>
    <row r="149" spans="1:8" x14ac:dyDescent="0.25">
      <c r="A149" s="44">
        <f t="shared" si="17"/>
        <v>135</v>
      </c>
      <c r="B149" s="171"/>
      <c r="C149" s="172"/>
      <c r="D149" s="48" t="s">
        <v>251</v>
      </c>
      <c r="E149" s="69">
        <f>G148</f>
        <v>46245</v>
      </c>
      <c r="F149" s="12">
        <v>2</v>
      </c>
      <c r="G149" s="69">
        <f>E149+F149</f>
        <v>46247</v>
      </c>
      <c r="H149" s="126"/>
    </row>
    <row r="150" spans="1:8" x14ac:dyDescent="0.25">
      <c r="A150" s="44">
        <f t="shared" ref="A150" si="19">A148+1</f>
        <v>135</v>
      </c>
      <c r="B150" s="171"/>
      <c r="C150" s="172"/>
      <c r="D150" s="48" t="s">
        <v>276</v>
      </c>
      <c r="E150" s="69">
        <f>G149</f>
        <v>46247</v>
      </c>
      <c r="F150" s="12">
        <v>2</v>
      </c>
      <c r="G150" s="69">
        <f>E150+F150</f>
        <v>46249</v>
      </c>
      <c r="H150" s="126"/>
    </row>
    <row r="151" spans="1:8" x14ac:dyDescent="0.25">
      <c r="A151" s="44">
        <f t="shared" si="17"/>
        <v>136</v>
      </c>
      <c r="B151" s="173"/>
      <c r="C151" s="174"/>
      <c r="D151" s="48" t="s">
        <v>237</v>
      </c>
      <c r="E151" s="69">
        <f>G150+1</f>
        <v>46250</v>
      </c>
      <c r="F151" s="12">
        <v>5</v>
      </c>
      <c r="G151" s="69">
        <f>E151+F151-1</f>
        <v>46254</v>
      </c>
      <c r="H151" s="126"/>
    </row>
    <row r="152" spans="1:8" x14ac:dyDescent="0.25">
      <c r="A152" s="44">
        <f t="shared" ref="A152" si="20">A150+1</f>
        <v>136</v>
      </c>
      <c r="B152" s="142" t="s">
        <v>306</v>
      </c>
      <c r="C152" s="143"/>
      <c r="D152" s="48" t="s">
        <v>305</v>
      </c>
      <c r="E152" s="69">
        <f>G151+1</f>
        <v>46255</v>
      </c>
      <c r="F152" s="12">
        <v>1</v>
      </c>
      <c r="G152" s="69">
        <f t="shared" ref="G152:G157" si="21">E152</f>
        <v>46255</v>
      </c>
      <c r="H152" s="126"/>
    </row>
    <row r="153" spans="1:8" x14ac:dyDescent="0.25">
      <c r="A153" s="44">
        <f t="shared" si="17"/>
        <v>137</v>
      </c>
      <c r="B153" s="142" t="s">
        <v>46</v>
      </c>
      <c r="C153" s="143"/>
      <c r="D153" s="48" t="s">
        <v>307</v>
      </c>
      <c r="E153" s="69">
        <f>G148+18</f>
        <v>46263</v>
      </c>
      <c r="F153" s="12">
        <v>18</v>
      </c>
      <c r="G153" s="69">
        <f t="shared" si="21"/>
        <v>46263</v>
      </c>
      <c r="H153" s="126"/>
    </row>
    <row r="154" spans="1:8" x14ac:dyDescent="0.25">
      <c r="A154" s="44">
        <f t="shared" si="17"/>
        <v>138</v>
      </c>
      <c r="B154" s="164" t="s">
        <v>47</v>
      </c>
      <c r="C154" s="175"/>
      <c r="D154" s="48" t="s">
        <v>308</v>
      </c>
      <c r="E154" s="69">
        <f>G153+F154</f>
        <v>46281</v>
      </c>
      <c r="F154" s="12">
        <v>18</v>
      </c>
      <c r="G154" s="69">
        <f t="shared" si="21"/>
        <v>46281</v>
      </c>
      <c r="H154" s="126"/>
    </row>
    <row r="155" spans="1:8" x14ac:dyDescent="0.25">
      <c r="A155" s="44">
        <f t="shared" si="17"/>
        <v>139</v>
      </c>
      <c r="B155" s="164" t="s">
        <v>48</v>
      </c>
      <c r="C155" s="175"/>
      <c r="D155" s="48" t="s">
        <v>274</v>
      </c>
      <c r="E155" s="69">
        <f>G154+18</f>
        <v>46299</v>
      </c>
      <c r="F155" s="12">
        <v>18</v>
      </c>
      <c r="G155" s="69">
        <f t="shared" si="21"/>
        <v>46299</v>
      </c>
      <c r="H155" s="126"/>
    </row>
    <row r="156" spans="1:8" x14ac:dyDescent="0.25">
      <c r="A156" s="44">
        <f t="shared" si="17"/>
        <v>140</v>
      </c>
      <c r="B156" s="164" t="s">
        <v>49</v>
      </c>
      <c r="C156" s="175"/>
      <c r="D156" s="48" t="s">
        <v>291</v>
      </c>
      <c r="E156" s="69">
        <f>G155+F156</f>
        <v>46317</v>
      </c>
      <c r="F156" s="12">
        <v>18</v>
      </c>
      <c r="G156" s="69">
        <f t="shared" si="21"/>
        <v>46317</v>
      </c>
      <c r="H156" s="126"/>
    </row>
    <row r="157" spans="1:8" x14ac:dyDescent="0.25">
      <c r="A157" s="44">
        <f t="shared" si="17"/>
        <v>141</v>
      </c>
      <c r="B157" s="164" t="s">
        <v>275</v>
      </c>
      <c r="C157" s="175"/>
      <c r="D157" s="48" t="s">
        <v>292</v>
      </c>
      <c r="E157" s="69">
        <f>G156+F157</f>
        <v>46335</v>
      </c>
      <c r="F157" s="12">
        <v>18</v>
      </c>
      <c r="G157" s="69">
        <f t="shared" si="21"/>
        <v>46335</v>
      </c>
      <c r="H157" s="126" t="s">
        <v>293</v>
      </c>
    </row>
    <row r="158" spans="1:8" x14ac:dyDescent="0.25">
      <c r="A158" s="44">
        <f t="shared" si="17"/>
        <v>142</v>
      </c>
      <c r="B158" s="164"/>
      <c r="C158" s="175"/>
      <c r="D158" s="40" t="s">
        <v>295</v>
      </c>
      <c r="E158" s="69" t="s">
        <v>296</v>
      </c>
      <c r="F158" s="12"/>
      <c r="G158" s="69" t="s">
        <v>244</v>
      </c>
      <c r="H158" s="126"/>
    </row>
    <row r="159" spans="1:8" x14ac:dyDescent="0.25">
      <c r="A159" s="44">
        <f t="shared" si="17"/>
        <v>143</v>
      </c>
      <c r="B159" s="164"/>
      <c r="C159" s="175"/>
      <c r="D159" s="40" t="s">
        <v>294</v>
      </c>
      <c r="E159" s="69" t="s">
        <v>297</v>
      </c>
      <c r="F159" s="12"/>
      <c r="G159" s="69" t="s">
        <v>244</v>
      </c>
      <c r="H159" s="126"/>
    </row>
    <row r="160" spans="1:8" x14ac:dyDescent="0.25">
      <c r="A160" s="44">
        <f t="shared" si="17"/>
        <v>144</v>
      </c>
      <c r="B160" s="164"/>
      <c r="C160" s="175"/>
      <c r="D160" s="40" t="s">
        <v>298</v>
      </c>
      <c r="E160" s="69" t="s">
        <v>299</v>
      </c>
      <c r="F160" s="12"/>
      <c r="G160" s="69" t="s">
        <v>244</v>
      </c>
      <c r="H160" s="126"/>
    </row>
    <row r="161" spans="1:8" x14ac:dyDescent="0.25">
      <c r="A161" s="44">
        <f t="shared" si="17"/>
        <v>145</v>
      </c>
      <c r="B161" s="164"/>
      <c r="C161" s="175"/>
      <c r="D161" s="40" t="s">
        <v>301</v>
      </c>
      <c r="E161" s="69" t="s">
        <v>300</v>
      </c>
      <c r="F161" s="12"/>
      <c r="G161" s="69" t="s">
        <v>244</v>
      </c>
      <c r="H161" s="126"/>
    </row>
    <row r="162" spans="1:8" x14ac:dyDescent="0.25">
      <c r="A162" s="44">
        <f t="shared" si="17"/>
        <v>146</v>
      </c>
      <c r="B162" s="164"/>
      <c r="C162" s="175"/>
      <c r="D162" s="40" t="s">
        <v>302</v>
      </c>
      <c r="E162" s="69" t="s">
        <v>300</v>
      </c>
      <c r="F162" s="12"/>
      <c r="G162" s="69" t="s">
        <v>244</v>
      </c>
      <c r="H162" s="126"/>
    </row>
    <row r="163" spans="1:8" x14ac:dyDescent="0.25">
      <c r="A163" s="44">
        <f t="shared" si="17"/>
        <v>147</v>
      </c>
      <c r="B163" s="164"/>
      <c r="C163" s="175"/>
      <c r="D163" s="40"/>
      <c r="E163" s="69"/>
      <c r="F163" s="12"/>
      <c r="G163" s="69" t="s">
        <v>244</v>
      </c>
      <c r="H163" s="126"/>
    </row>
    <row r="164" spans="1:8" x14ac:dyDescent="0.25">
      <c r="A164" s="44">
        <f t="shared" si="17"/>
        <v>148</v>
      </c>
      <c r="B164" s="164"/>
      <c r="C164" s="175"/>
      <c r="D164" s="40"/>
      <c r="E164" s="69"/>
      <c r="F164" s="12"/>
      <c r="G164" s="69" t="s">
        <v>244</v>
      </c>
      <c r="H164" s="126"/>
    </row>
    <row r="165" spans="1:8" x14ac:dyDescent="0.25">
      <c r="A165" s="44">
        <f t="shared" si="17"/>
        <v>149</v>
      </c>
      <c r="B165" s="164"/>
      <c r="C165" s="175"/>
      <c r="D165" s="40"/>
      <c r="E165" s="69"/>
      <c r="F165" s="12"/>
      <c r="G165" s="69" t="s">
        <v>244</v>
      </c>
      <c r="H165" s="126"/>
    </row>
    <row r="166" spans="1:8" x14ac:dyDescent="0.25">
      <c r="A166" s="44">
        <f t="shared" si="17"/>
        <v>150</v>
      </c>
      <c r="B166" s="164"/>
      <c r="C166" s="175"/>
      <c r="D166" s="40"/>
      <c r="E166" s="69"/>
      <c r="F166" s="12"/>
      <c r="G166" s="69" t="s">
        <v>244</v>
      </c>
      <c r="H166" s="126"/>
    </row>
    <row r="167" spans="1:8" x14ac:dyDescent="0.25">
      <c r="A167" s="44">
        <f t="shared" si="17"/>
        <v>151</v>
      </c>
      <c r="B167" s="164"/>
      <c r="C167" s="175"/>
      <c r="D167" s="40"/>
      <c r="E167" s="69"/>
      <c r="F167" s="12"/>
      <c r="G167" s="69" t="s">
        <v>244</v>
      </c>
      <c r="H167" s="126"/>
    </row>
    <row r="168" spans="1:8" x14ac:dyDescent="0.25">
      <c r="A168" s="44">
        <f t="shared" si="17"/>
        <v>152</v>
      </c>
      <c r="B168" s="164"/>
      <c r="C168" s="175"/>
      <c r="D168" s="40"/>
      <c r="E168" s="69"/>
      <c r="F168" s="12"/>
      <c r="G168" s="69" t="s">
        <v>244</v>
      </c>
      <c r="H168" s="126"/>
    </row>
    <row r="169" spans="1:8" x14ac:dyDescent="0.25">
      <c r="A169" s="44">
        <f t="shared" si="17"/>
        <v>153</v>
      </c>
      <c r="B169" s="164"/>
      <c r="C169" s="175"/>
      <c r="D169" s="40"/>
      <c r="E169" s="69"/>
      <c r="F169" s="12"/>
      <c r="G169" s="69" t="s">
        <v>244</v>
      </c>
      <c r="H169" s="126"/>
    </row>
    <row r="170" spans="1:8" x14ac:dyDescent="0.25">
      <c r="A170" s="44">
        <f t="shared" si="17"/>
        <v>154</v>
      </c>
      <c r="B170" s="164"/>
      <c r="C170" s="175"/>
      <c r="D170" s="40"/>
      <c r="E170" s="69"/>
      <c r="F170" s="12"/>
      <c r="G170" s="69" t="s">
        <v>244</v>
      </c>
      <c r="H170" s="126"/>
    </row>
    <row r="171" spans="1:8" x14ac:dyDescent="0.25">
      <c r="A171" s="44">
        <f t="shared" si="17"/>
        <v>155</v>
      </c>
      <c r="B171" s="164"/>
      <c r="C171" s="175"/>
      <c r="D171" s="40"/>
      <c r="E171" s="69"/>
      <c r="F171" s="12"/>
      <c r="G171" s="69" t="s">
        <v>244</v>
      </c>
      <c r="H171" s="126"/>
    </row>
    <row r="172" spans="1:8" x14ac:dyDescent="0.25">
      <c r="A172" s="44">
        <f t="shared" si="17"/>
        <v>156</v>
      </c>
      <c r="B172" s="164"/>
      <c r="C172" s="175"/>
      <c r="D172" s="40"/>
      <c r="E172" s="69"/>
      <c r="F172" s="12"/>
      <c r="G172" s="69" t="s">
        <v>244</v>
      </c>
      <c r="H172" s="126"/>
    </row>
    <row r="173" spans="1:8" x14ac:dyDescent="0.25">
      <c r="A173" s="44">
        <f t="shared" si="17"/>
        <v>157</v>
      </c>
      <c r="B173" s="164"/>
      <c r="C173" s="175"/>
      <c r="D173" s="40"/>
      <c r="E173" s="69"/>
      <c r="F173" s="12"/>
      <c r="G173" s="69" t="s">
        <v>244</v>
      </c>
      <c r="H173" s="126"/>
    </row>
    <row r="174" spans="1:8" x14ac:dyDescent="0.25">
      <c r="A174" s="44">
        <f t="shared" si="17"/>
        <v>158</v>
      </c>
      <c r="B174" s="164"/>
      <c r="C174" s="175"/>
      <c r="D174" s="40"/>
      <c r="E174" s="69"/>
      <c r="F174" s="12"/>
      <c r="G174" s="69" t="s">
        <v>244</v>
      </c>
      <c r="H174" s="126"/>
    </row>
    <row r="175" spans="1:8" x14ac:dyDescent="0.25">
      <c r="A175" s="44">
        <f t="shared" si="17"/>
        <v>159</v>
      </c>
      <c r="B175" s="164"/>
      <c r="C175" s="175"/>
      <c r="D175" s="40"/>
      <c r="E175" s="69"/>
      <c r="F175" s="12"/>
      <c r="G175" s="69" t="s">
        <v>244</v>
      </c>
      <c r="H175" s="126"/>
    </row>
    <row r="176" spans="1:8" x14ac:dyDescent="0.25">
      <c r="A176" s="44">
        <f t="shared" si="17"/>
        <v>160</v>
      </c>
      <c r="B176" s="164"/>
      <c r="C176" s="175"/>
      <c r="D176" s="40"/>
      <c r="E176" s="69"/>
      <c r="F176" s="12"/>
      <c r="G176" s="69" t="s">
        <v>244</v>
      </c>
      <c r="H176" s="126"/>
    </row>
  </sheetData>
  <mergeCells count="52">
    <mergeCell ref="B164:C164"/>
    <mergeCell ref="B165:C165"/>
    <mergeCell ref="B166:C166"/>
    <mergeCell ref="B167:C167"/>
    <mergeCell ref="B168:C168"/>
    <mergeCell ref="B174:C174"/>
    <mergeCell ref="B175:C175"/>
    <mergeCell ref="B176:C176"/>
    <mergeCell ref="B169:C169"/>
    <mergeCell ref="B170:C170"/>
    <mergeCell ref="B171:C171"/>
    <mergeCell ref="B172:C172"/>
    <mergeCell ref="B173:C173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59:C159"/>
    <mergeCell ref="B160:C160"/>
    <mergeCell ref="B137:C144"/>
    <mergeCell ref="B153:C153"/>
    <mergeCell ref="B120:C127"/>
    <mergeCell ref="B128:C136"/>
    <mergeCell ref="B152:C152"/>
    <mergeCell ref="B145:C151"/>
    <mergeCell ref="A8:A11"/>
    <mergeCell ref="B8:C11"/>
    <mergeCell ref="B69:C80"/>
    <mergeCell ref="A1:G1"/>
    <mergeCell ref="A2:H2"/>
    <mergeCell ref="A3:A4"/>
    <mergeCell ref="B3:D4"/>
    <mergeCell ref="E3:G3"/>
    <mergeCell ref="H3:H4"/>
    <mergeCell ref="I12:I15"/>
    <mergeCell ref="B25:C33"/>
    <mergeCell ref="E30:E31"/>
    <mergeCell ref="F30:F31"/>
    <mergeCell ref="G30:G31"/>
    <mergeCell ref="B12:C24"/>
    <mergeCell ref="B107:C112"/>
    <mergeCell ref="B100:C106"/>
    <mergeCell ref="B113:C119"/>
    <mergeCell ref="B81:C86"/>
    <mergeCell ref="B34:C46"/>
    <mergeCell ref="B47:C55"/>
    <mergeCell ref="B56:C68"/>
    <mergeCell ref="B87:C99"/>
  </mergeCells>
  <phoneticPr fontId="1" type="noConversion"/>
  <printOptions horizontalCentered="1"/>
  <pageMargins left="0.25" right="0.25" top="0.75" bottom="0.75" header="0.3" footer="0.3"/>
  <pageSetup paperSize="9" scale="8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795A-95DB-47D1-A617-188584A3D1F3}">
  <sheetPr>
    <pageSetUpPr fitToPage="1"/>
  </sheetPr>
  <dimension ref="A1:H6"/>
  <sheetViews>
    <sheetView zoomScale="130" zoomScaleNormal="130" zoomScaleSheetLayoutView="75" workbookViewId="0">
      <selection activeCell="B20" sqref="B20"/>
    </sheetView>
  </sheetViews>
  <sheetFormatPr defaultRowHeight="15.75" x14ac:dyDescent="0.25"/>
  <cols>
    <col min="1" max="1" width="29.375" style="99" bestFit="1" customWidth="1"/>
    <col min="2" max="2" width="29.375" style="93" bestFit="1" customWidth="1"/>
    <col min="3" max="3" width="9" style="93"/>
    <col min="4" max="4" width="9" style="94"/>
    <col min="5" max="5" width="9" style="95"/>
    <col min="6" max="6" width="9" style="96"/>
    <col min="7" max="7" width="9" style="95"/>
    <col min="8" max="8" width="9" style="97"/>
    <col min="9" max="16384" width="9" style="98"/>
  </cols>
  <sheetData>
    <row r="1" spans="1:2" x14ac:dyDescent="0.25">
      <c r="A1" s="99" t="s">
        <v>266</v>
      </c>
      <c r="B1" s="93" t="s">
        <v>267</v>
      </c>
    </row>
    <row r="2" spans="1:2" x14ac:dyDescent="0.25">
      <c r="A2" s="99" t="s">
        <v>261</v>
      </c>
      <c r="B2" s="99" t="s">
        <v>261</v>
      </c>
    </row>
    <row r="3" spans="1:2" x14ac:dyDescent="0.25">
      <c r="A3" s="99" t="s">
        <v>265</v>
      </c>
      <c r="B3" s="99" t="s">
        <v>265</v>
      </c>
    </row>
    <row r="4" spans="1:2" x14ac:dyDescent="0.25">
      <c r="A4" s="99" t="s">
        <v>262</v>
      </c>
      <c r="B4" s="99" t="s">
        <v>268</v>
      </c>
    </row>
    <row r="5" spans="1:2" x14ac:dyDescent="0.25">
      <c r="A5" s="99" t="s">
        <v>263</v>
      </c>
      <c r="B5" s="99" t="s">
        <v>269</v>
      </c>
    </row>
    <row r="6" spans="1:2" x14ac:dyDescent="0.25">
      <c r="A6" s="99" t="s">
        <v>264</v>
      </c>
      <c r="B6" s="99" t="s">
        <v>270</v>
      </c>
    </row>
  </sheetData>
  <phoneticPr fontId="1" type="noConversion"/>
  <printOptions horizontalCentered="1"/>
  <pageMargins left="0.25" right="0.25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1140224提報預定營造排程</vt:lpstr>
      <vt:lpstr>1150602灌漿排程</vt:lpstr>
      <vt:lpstr>水電排程</vt:lpstr>
      <vt:lpstr>'1140224提報預定營造排程'!Print_Area</vt:lpstr>
      <vt:lpstr>'1150602灌漿排程'!Print_Area</vt:lpstr>
      <vt:lpstr>'1150602灌漿排程'!Print_Titles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riverhsu</dc:creator>
  <cp:lastModifiedBy>User</cp:lastModifiedBy>
  <cp:lastPrinted>2026-06-16T06:39:33Z</cp:lastPrinted>
  <dcterms:created xsi:type="dcterms:W3CDTF">2017-08-09T10:16:34Z</dcterms:created>
  <dcterms:modified xsi:type="dcterms:W3CDTF">2026-07-01T06:53:31Z</dcterms:modified>
</cp:coreProperties>
</file>